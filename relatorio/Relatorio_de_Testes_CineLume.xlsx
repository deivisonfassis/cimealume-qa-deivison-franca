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Pictures\curso_ds\testes\git\cinelume-qa\relatorio\"/>
    </mc:Choice>
  </mc:AlternateContent>
  <xr:revisionPtr revIDLastSave="0" documentId="13_ncr:1_{87922671-335A-4963-B882-5CAB414FEA57}" xr6:coauthVersionLast="47" xr6:coauthVersionMax="47" xr10:uidLastSave="{00000000-0000-0000-0000-000000000000}"/>
  <bookViews>
    <workbookView xWindow="-108" yWindow="-108" windowWidth="23256" windowHeight="12456" tabRatio="500" firstSheet="8" activeTab="12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<sst xmlns="http://schemas.openxmlformats.org/spreadsheetml/2006/main" count="1054" uniqueCount="776">
  <si>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</si>
  <si>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</si>
  <si>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</si>
  <si>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</si>
  <si>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</si>
  <si>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</si>
  <si>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</si>
  <si>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</si>
  <si>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</si>
  <si>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</si>
  <si>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</si>
  <si>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</si>
  <si>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</si>
  <si>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</si>
  <si>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</si>
  <si>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</si>
  <si>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</si>
  <si>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</si>
  <si>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</si>
  <si>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</si>
  <si>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</si>
  <si>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</si>
  <si>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</si>
  <si>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</si>
  <si>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</si>
  <si>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</si>
  <si>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</si>
  <si>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</si>
  <si>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</si>
  <si>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</si>
  <si>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</si>
  <si>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</si>
  <si>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</si>
  <si>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</si>
  <si>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</si>
  <si>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</si>
  <si>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</si>
  <si>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</si>
  <si>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</si>
  <si>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</si>
  <si>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</si>
  <si>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</si>
  <si>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</si>
  <si>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</si>
  <si>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</si>
  <si>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</si>
  <si>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</si>
  <si>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</si>
  <si>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</si>
  <si>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</si>
  <si>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</si>
  <si>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</si>
  <si>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</si>
  <si>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</si>
  <si>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</si>
  <si>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</si>
  <si>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</si>
  <si>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</si>
  <si>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</si>
  <si>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</si>
  <si>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</si>
  <si>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</si>
  <si>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</si>
  <si>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</si>
  <si>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</si>
  <si>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</si>
  <si>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</si>
  <si>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</si>
  <si>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</si>
  <si>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</si>
  <si>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</si>
  <si>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</si>
  <si>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</si>
  <si>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</si>
  <si>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</si>
  <si>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</si>
  <si>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</si>
  <si>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</si>
  <si>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</si>
  <si>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</si>
  <si>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</si>
  <si>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</si>
  <si>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</si>
  <si>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</si>
  <si>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</si>
  <si>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</si>
  <si>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</si>
  <si>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</si>
  <si>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</si>
  <si>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</si>
  <si>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</si>
  <si>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</si>
  <si>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</si>
  <si>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</si>
  <si>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</si>
  <si>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</si>
  <si>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</si>
  <si>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</si>
  <si>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</si>
  <si>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</si>
  <si>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</si>
  <si>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</si>
  <si>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</si>
  <si>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</si>
  <si>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</si>
  <si>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</si>
  <si>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</si>
  <si>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</si>
  <si>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</si>
  <si>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</si>
  <si>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</si>
  <si>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</si>
  <si>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</si>
  <si>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</si>
  <si>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</si>
  <si>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</si>
  <si>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</si>
  <si>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</si>
  <si>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</si>
  <si>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</si>
  <si>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</si>
  <si>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</si>
  <si>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</si>
  <si>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</si>
  <si>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</si>
  <si>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</si>
  <si>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</si>
  <si>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</si>
  <si>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</si>
  <si>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</si>
  <si>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</si>
  <si>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</si>
  <si>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</si>
  <si>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</si>
  <si>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</si>
  <si>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</si>
  <si>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</si>
  <si>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</si>
  <si>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</si>
  <si>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</si>
  <si>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</si>
  <si>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</si>
  <si>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</si>
  <si>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</si>
  <si>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</si>
  <si>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</si>
  <si>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</si>
  <si>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</si>
  <si>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</si>
  <si>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</si>
  <si>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</si>
  <si>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</si>
  <si>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</si>
  <si>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</si>
  <si>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</si>
  <si>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</si>
  <si>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</si>
  <si>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</si>
  <si>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</si>
  <si>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</si>
  <si>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</si>
  <si>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</si>
  <si>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</si>
  <si>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</si>
  <si>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</si>
  <si>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</si>
  <si>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</si>
  <si>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</si>
  <si>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</si>
  <si>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</si>
  <si>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</si>
  <si>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</si>
  <si>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</si>
  <si>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</si>
  <si>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</si>
  <si>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</si>
  <si>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</si>
  <si>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</si>
  <si>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</si>
  <si>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</si>
  <si>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</si>
  <si>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</si>
  <si>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</si>
  <si>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</si>
  <si>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</si>
  <si>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</si>
  <si>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</si>
  <si>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</si>
  <si>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</si>
  <si>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</si>
  <si>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</si>
  <si>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</si>
  <si>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</si>
  <si>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</si>
  <si>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</si>
  <si>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</si>
  <si>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</si>
  <si>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</si>
  <si>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</si>
  <si>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</si>
  <si>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</si>
  <si>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</si>
  <si>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</si>
  <si>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</si>
  <si>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</si>
  <si>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</si>
  <si>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</si>
  <si>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</si>
  <si>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</si>
  <si>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</si>
  <si>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</si>
  <si>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</si>
  <si>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</si>
  <si>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</si>
  <si>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</si>
  <si>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</si>
  <si>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</si>
  <si>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</si>
  <si>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</si>
  <si>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</si>
  <si>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</si>
  <si>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</si>
  <si>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</si>
  <si>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</si>
  <si>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</si>
  <si>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</si>
  <si>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</si>
  <si>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</si>
  <si>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</si>
  <si>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</si>
  <si>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</si>
  <si>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</si>
  <si>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</si>
  <si>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</si>
  <si>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</si>
  <si>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</si>
  <si>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</si>
  <si>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</si>
  <si>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</si>
  <si>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</si>
  <si>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</si>
  <si>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</si>
  <si>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</si>
  <si>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</si>
  <si>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</si>
  <si>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</si>
  <si>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</si>
  <si>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</si>
  <si>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</si>
  <si>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</si>
  <si>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</si>
  <si>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</si>
  <si>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</si>
  <si>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</si>
  <si>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</si>
  <si>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</si>
  <si>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</si>
  <si>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</si>
  <si>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</si>
  <si>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</si>
  <si>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</si>
  <si>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</si>
  <si>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</si>
  <si>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</si>
  <si>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</si>
  <si>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</si>
  <si>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</si>
  <si>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</si>
  <si>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</si>
  <si>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</si>
  <si>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</si>
  <si>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</si>
  <si>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</si>
  <si>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</si>
  <si>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</si>
  <si>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</si>
  <si>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</si>
  <si>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</si>
  <si>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</si>
  <si>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</si>
  <si>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</si>
  <si>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</si>
  <si>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</si>
  <si>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</si>
  <si>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</si>
  <si>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</si>
  <si>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</si>
  <si>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</si>
  <si>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</si>
  <si>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</si>
  <si>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</si>
  <si>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</si>
  <si>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</si>
  <si>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</si>
  <si>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</si>
  <si>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</si>
  <si>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</si>
  <si>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</si>
  <si>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</si>
  <si>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</si>
  <si>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</si>
  <si>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</si>
  <si>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</si>
  <si>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</si>
  <si>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</si>
  <si>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</si>
  <si>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</si>
  <si>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</si>
  <si>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</si>
  <si>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</si>
  <si>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</si>
  <si>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</si>
  <si>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</si>
  <si>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</si>
  <si>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</si>
  <si>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</si>
  <si>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</si>
  <si>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</si>
  <si>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</si>
  <si>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</si>
  <si>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</si>
  <si>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</si>
  <si>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</si>
  <si>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</si>
  <si>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</si>
  <si>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</si>
  <si>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</si>
  <si>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</si>
  <si>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</si>
  <si>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</si>
  <si>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</si>
  <si>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</si>
  <si>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</si>
  <si>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</si>
  <si>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</si>
  <si>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</si>
  <si>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</si>
  <si>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</si>
  <si>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</si>
  <si>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</si>
  <si>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</si>
  <si>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</si>
  <si>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</si>
  <si>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</si>
  <si>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</si>
  <si>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</si>
  <si>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</si>
  <si>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</si>
  <si>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</si>
  <si>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</si>
  <si>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</si>
  <si>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</si>
  <si>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</si>
  <si>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</si>
  <si>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</si>
  <si>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</si>
  <si>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</si>
  <si>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</si>
  <si>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</si>
  <si>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</si>
  <si>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</si>
  <si>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</si>
  <si>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</si>
  <si>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</si>
  <si>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</si>
  <si>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</si>
  <si>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</si>
  <si>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</si>
  <si>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</si>
  <si>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</si>
  <si>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</si>
  <si>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</si>
  <si>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</si>
  <si>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</si>
  <si>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</si>
  <si>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</si>
  <si>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</si>
  <si>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</si>
  <si>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</si>
  <si>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</si>
  <si>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</si>
  <si>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</si>
  <si>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</si>
  <si>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</si>
  <si>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</si>
  <si>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</si>
  <si>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</si>
  <si>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</si>
  <si>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</si>
  <si>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</si>
  <si>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</si>
  <si>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</si>
  <si>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</si>
  <si>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</si>
  <si>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</si>
  <si>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</si>
  <si>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</si>
  <si>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</si>
  <si>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</si>
  <si>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</si>
  <si>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</si>
  <si>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</si>
  <si>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</si>
  <si>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</si>
  <si>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</si>
  <si>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</si>
  <si>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</si>
  <si>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</si>
  <si>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</si>
  <si>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</si>
  <si>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</si>
  <si>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</si>
  <si>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</si>
  <si>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</si>
  <si>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</si>
  <si>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</si>
  <si>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</si>
  <si>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</si>
  <si>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</si>
  <si>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</si>
  <si>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</si>
  <si>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</si>
  <si>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</si>
  <si>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</si>
  <si>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</si>
  <si>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</si>
  <si>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</si>
  <si>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</si>
  <si>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</si>
  <si>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</si>
  <si>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</si>
  <si>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</si>
  <si>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</si>
  <si>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</si>
  <si>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</si>
  <si>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</si>
  <si>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</si>
  <si>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</si>
  <si>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</si>
  <si>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</si>
  <si>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</si>
  <si>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</si>
  <si>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</si>
  <si>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</si>
  <si>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</si>
  <si>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</si>
  <si>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</si>
  <si>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</si>
  <si>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</si>
  <si>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</si>
  <si>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</si>
  <si>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</si>
  <si>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</si>
  <si>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</si>
  <si>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</si>
  <si>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</si>
  <si>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</si>
  <si>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</si>
  <si>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</si>
  <si>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</si>
  <si>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</si>
  <si>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</si>
  <si>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</si>
  <si>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</si>
  <si>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</si>
  <si>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</si>
  <si>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</si>
  <si>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</si>
  <si>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</si>
  <si>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</si>
  <si>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</si>
  <si>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</si>
  <si>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</si>
  <si>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</si>
  <si>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</si>
  <si>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</si>
  <si>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</si>
  <si>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</si>
  <si>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</si>
  <si>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</si>
  <si>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</si>
  <si>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</si>
  <si>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</si>
  <si>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</si>
  <si>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</si>
  <si>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</si>
  <si>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</si>
  <si>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</si>
  <si>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</si>
  <si>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</si>
  <si>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</si>
  <si>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</si>
  <si>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</si>
  <si>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</si>
  <si>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Deivison Franca de Assis</t>
  </si>
  <si>
    <t>deivisonfassis</t>
  </si>
  <si>
    <t>https://github.com/deivisonfassis/cimealume-qa-deivison-franca.git</t>
  </si>
  <si>
    <t xml:space="preserve">Google Chrome - 156.0.8078.49 </t>
  </si>
  <si>
    <t>Windows 11</t>
  </si>
  <si>
    <t>Aparece o erro 404 do icone favicon</t>
  </si>
  <si>
    <t>Todos elemento de ui funcionando corretamente.</t>
  </si>
  <si>
    <t>Nome Completo</t>
  </si>
  <si>
    <t xml:space="preserve">Selecao de filmes,  Selecao de acentos, adicinar item na bomboniere, escolher forma de pagamento , Dados pessoais </t>
  </si>
  <si>
    <t>Verificar se as funçoes estao de acordo com as regras de negocio</t>
  </si>
  <si>
    <t>Unitario, sistema , aceitação</t>
  </si>
  <si>
    <t>Devtools, vscode</t>
  </si>
  <si>
    <t xml:space="preserve">A partir do momento que os arquivos e  o teste de fumaca for executado </t>
  </si>
  <si>
    <t>Pelo menos 90% dos casos  de teste executados tiveram passado</t>
  </si>
  <si>
    <t xml:space="preserve">insercao de valores alem do limite, selecionar mais de um campo , colocar valor invalidos, numero negativos </t>
  </si>
  <si>
    <t>tudo relacionado ao visual do sistemas ou backend e banco de dados</t>
  </si>
  <si>
    <t>Funcionalidades repondendo de acordo com as regra de negocio</t>
  </si>
  <si>
    <t>CA01.1</t>
  </si>
  <si>
    <t>verificar se todas as funciononalidade do sistema estão de acordo com os requisitos de negocio</t>
  </si>
  <si>
    <t xml:space="preserve">Desconto pix </t>
  </si>
  <si>
    <t>O requisito define um limite que não faz sentido</t>
  </si>
  <si>
    <t xml:space="preserve">Definir um novo limite baseado na soma dos vendidos </t>
  </si>
  <si>
    <t>a quantidade de caracteres para um nome e muito pequena baseado no padrao de nome brasileiro</t>
  </si>
  <si>
    <t xml:space="preserve">Exite algum nome com 3 caracteres?. </t>
  </si>
  <si>
    <t>Com as correções verificar se o sistema esta funcinando corretamente</t>
  </si>
  <si>
    <t>Tenta identificar erros que não tenha no plano de teste</t>
  </si>
  <si>
    <t xml:space="preserve">Simular se sistema aguenta uma quantidade de usuario e uma pre-estreia </t>
  </si>
  <si>
    <t>Para discobri quando sistema trava para tomar medidas.</t>
  </si>
  <si>
    <t>Analisar quanto tempo um usuario leva pra compra um ingresso e se atividade e facil de ser exeutada</t>
  </si>
  <si>
    <t>Verificar se o sistema esta de acordo com os requisitos</t>
  </si>
  <si>
    <t>CA04.1</t>
  </si>
  <si>
    <t>CA05.3</t>
  </si>
  <si>
    <t>CA07.1</t>
  </si>
  <si>
    <t>Validar preço de inteira para sessão em horário de matinê</t>
  </si>
  <si>
    <t>O sistema está aberto na página principal e há sessão do filme 'Órbita Silenciosa' às 14:00.</t>
  </si>
  <si>
    <t>1. Selecionar o filme 'Órbita Silenciosa'. 2. Escolher a sessão das 14:00 (2D). 3. Selecionar 1 assento. 4. Observar o valor do ingresso inteiro no resumo.</t>
  </si>
  <si>
    <t>Filme: Órbita Silenciosa, Sessão: 14:00 (2D), Quantidade: 1 inteira.</t>
  </si>
  <si>
    <t>O valor unitário do ingresso inteiro deve ser exibido como R$ 24,00.</t>
  </si>
  <si>
    <t>CA01.3</t>
  </si>
  <si>
    <t>Validar preço de inteira para sessão iniciada após as 17:00</t>
  </si>
  <si>
    <t>O sistema está aberto na página principal.</t>
  </si>
  <si>
    <t>1. Selecionar o filme 'O Último Farol'. 2. Escolher a sessão das 21:00 (2D). 3. Selecionar 1 assento. 4. Verificar o subtotal de ingressos.</t>
  </si>
  <si>
    <t>Filme: O Último Farol, Sessão: 21:00 (2D), Quantidade: 1 inteira.</t>
  </si>
  <si>
    <t>O valor unitário do ingresso inteiro deve ser de R$ 32,00.</t>
  </si>
  <si>
    <t>CA02.2</t>
  </si>
  <si>
    <t>Validar aplicação do adicional 3D para múltiplos ingressos</t>
  </si>
  <si>
    <t>1. Selecionar o filme 'Órbita Silenciosa'. 2. Escolher a sessão das 20:30 (3D). 3. Selecionar 2 assentos. 4. Verificar o subtotal dos ingressos.</t>
  </si>
  <si>
    <t>Filme: Órbita Silenciosa, Sessão: 20:30 (3D), Ingressos: 2 inteiras.</t>
  </si>
  <si>
    <t>Cada ingresso deve custar R$ 32,00 + R$ 6,00 (totalizando R$ 38,00 cada), resultando em um subtotal de R$ 76,00.</t>
  </si>
  <si>
    <t>CA03.2</t>
  </si>
  <si>
    <t>Validar cálculo de meia-entrada em sessão 3D</t>
  </si>
  <si>
    <t>1. Selecionar o filme 'Órbita Silenciosa'. 2. Escolher a sessão das 20:30 (3D). 3. Selecionar 1 assento. 4. Marcar o ingresso como meia-entrada. 5. Verificar o valor cobrado pelo ingresso.</t>
  </si>
  <si>
    <t>Sessão: 20:30 (3D), Tipo de ingresso: 1 meia-entrada.</t>
  </si>
  <si>
    <t>O valor da meia-entrada deve ser 50% do valor total do ingresso (R$ 38,00), resultando em R$ 19,00.</t>
  </si>
  <si>
    <t>Verificar restrição de meia-entrada em sessão de pré-estreia</t>
  </si>
  <si>
    <t>1. Selecionar o filme 'Cidade de Vidro' (Pré-estreia). 2. Escolher a sessão das 22:00 (2D). 3. Selecionar 1 assento. 4. Tentar marcar como meia-entrada. 5. Verificar o preço cobrado.</t>
  </si>
  <si>
    <t>Sessão de pré-estreia, tentativa de seleção de meia-entrada.</t>
  </si>
  <si>
    <t>A opção de meia-entrada não deve alterar o preço, cobrando o valor integral de R$ 32,00.</t>
  </si>
  <si>
    <t>Validar limite máximo de 6 ingressos por pedido</t>
  </si>
  <si>
    <t>O usuário selecionou uma sessão válida e já marcou 6 assentos no mapa da sala.</t>
  </si>
  <si>
    <t>1. Clicar em um 7º assento livre no mapa da sala. 2. Observar o comportamento da interface.</t>
  </si>
  <si>
    <t>Tentativa de seleção do 7º assento.</t>
  </si>
  <si>
    <t>O sistema deve recusar a seleção do 7º assento e exibir um aviso ao cliente.</t>
  </si>
  <si>
    <t>CA06.2</t>
  </si>
  <si>
    <t>Desfazer seleção de assento ao clicar novamente</t>
  </si>
  <si>
    <t>O usuário escolheu uma sessão e marcou 1 assento.</t>
  </si>
  <si>
    <t>1. Clicar novamente sobre o assento já selecionado. 2. Verificar o status do assento e o valor do pedido.</t>
  </si>
  <si>
    <t>Clique duplo no mesmo assento selecionado.</t>
  </si>
  <si>
    <t>O assento deve ser liberado (desmarcado), retirado do mapa de seleção e o valor dos ingressos deve voltar a zero.</t>
  </si>
  <si>
    <t>Validar quantidade máxima de itens na bomboniere</t>
  </si>
  <si>
    <t>O usuário está na etapa de seleção da bomboniere.</t>
  </si>
  <si>
    <t>1. Digitar o valor 12 no campo de quantidade da 'Pipoca pequena'. 2. Sair do campo (perder o foco). 3. Verificar o valor assumido pelo campo.</t>
  </si>
  <si>
    <t>Quantidade informada: 12.</t>
  </si>
  <si>
    <t>O sistema deve corrigir automaticamente o valor para o limite máximo permitido, que é 10.</t>
  </si>
  <si>
    <t>CA08.2</t>
  </si>
  <si>
    <t>Validar incidência da taxa de conveniência apenas sobre ingressos</t>
  </si>
  <si>
    <t>O usuário adicionou 1 ingresso e 2 unidades de pipoca pequena ao pedido.</t>
  </si>
  <si>
    <t>1. Visualizar o detalhamento do resumo de valores. 2. Calcular a taxa de conveniência aplicada.</t>
  </si>
  <si>
    <t>1 Ingresso e 2 Pipocas pequenas.</t>
  </si>
  <si>
    <t>A taxa de conveniência deve ser cobrada apenas com base na quantidade de ingressos (1 ingresso = R$ 2,50), sem incidir sobre os itens da bomboniere.</t>
  </si>
  <si>
    <t>CA09.2</t>
  </si>
  <si>
    <t>Tabela de Decisão</t>
  </si>
  <si>
    <t>Validar flexibilidade de formatação no cupom CINE10</t>
  </si>
  <si>
    <t>O usuário possui itens de ingresso no carrinho.</t>
  </si>
  <si>
    <t>1. Digitar o cupom com espaços e letras minúsculas (` cIne10 `) no campo de cupons. 2. Aplicar o cupom. 3. Verificar se o desconto foi concedido.</t>
  </si>
  <si>
    <t>String de cupom: ` cIne10 `</t>
  </si>
  <si>
    <t>O cupom deve ser aceito independentemente de letras maiúsculas/minúsculas e espaços nas pontas, aplicando 10% de desconto sobre o subtotal de ingressos.</t>
  </si>
  <si>
    <t>CA10.2</t>
  </si>
  <si>
    <t>Validar rejeição do cupom PIPOCA5 abaixo do valor mínimo</t>
  </si>
  <si>
    <t>O usuário possui itens de bomboniere com subtotal inferior a R$ 25,00 no carrinho (ex: 1 Refrigerante de R$ 9,50).</t>
  </si>
  <si>
    <t>1. Inserir o cupom `PIPOCA5`. 2. Tentar aplicar. 3. Verificar a mensagem exibida.</t>
  </si>
  <si>
    <t>Cupom: `PIPOCA5`, Subtotal da bomboniere: R$ 9,50.</t>
  </si>
  <si>
    <t>O cupom deve ser recusado e uma mensagem explicativa de restrição deve ser exibida.</t>
  </si>
  <si>
    <t>CA11.2</t>
  </si>
  <si>
    <t>Validar remoção do desconto Pix ao alterar forma de pagamento</t>
  </si>
  <si>
    <t>O usuário selecionou a forma de pagamento Pix e o desconto de 5% foi aplicado ao total.</t>
  </si>
  <si>
    <t>1. Alterar a forma de pagamento de Pix para Cartão de Crédito. 2. Verificar o valor total do pedido.</t>
  </si>
  <si>
    <t>Troca de Pix para Cartão.</t>
  </si>
  <si>
    <t>O desconto de 5% associado ao Pix deve ser removido imediatamente do valor total.</t>
  </si>
  <si>
    <t>CA12.1</t>
  </si>
  <si>
    <t>Validar limite de parcelamento para pedidos abaixo de R$ 150,00</t>
  </si>
  <si>
    <t>O usuário selecionou Cartão de Crédito como forma de pagamento e o valor total do pedido é de R$ 149,99.</t>
  </si>
  <si>
    <t>1. Abrir o seletor de parcelas do cartão de crédito. 2. Verificar o número máximo de parcelas disponíveis.</t>
  </si>
  <si>
    <t>Valor total do pedido: R$ 149,99.</t>
  </si>
  <si>
    <t>O sistema deve permitir o parcelamento em no máximo 3x sem juros.</t>
  </si>
  <si>
    <t>CA13.1</t>
  </si>
  <si>
    <t>Validar validação de tamanho mínimo para o campo Nome Completo</t>
  </si>
  <si>
    <t>O usuário chegou na etapa de preenchimento dos dados do comprador.</t>
  </si>
  <si>
    <t>1. Digitar um nome com 2 caracteres ('An'). 2. Tentar prosseguir/confirmar a compra. 3. Limpar e digitar um nome com 3 caracteres ('Ana'). 4. Tentar prosseguir.</t>
  </si>
  <si>
    <t>'An' (inválido) e 'Ana' (válido).</t>
  </si>
  <si>
    <t>O nome com 2 caracteres deve ser recusado com mensagem de erro; o nome com 3 caracteres deve ser aceito.</t>
  </si>
  <si>
    <t>Validar validação do formato do e-mail do comprador</t>
  </si>
  <si>
    <t>O usuário está preenchendo os dados do comprador.</t>
  </si>
  <si>
    <t>1. Informar um e-mail sem o caractere arroba (`clientecinema.com`). 2. Tentar confirmar a compra.</t>
  </si>
  <si>
    <t>E-mail inválido: `clientecinema.com`</t>
  </si>
  <si>
    <t>O sistema deve recusar o formato do e-mail, impedir a confirmação e exibir mensagem de erro correspondente.</t>
  </si>
  <si>
    <t>CA16.1</t>
  </si>
  <si>
    <t>Verificar persistência do pedido em andamento após recarregar a página (F5)</t>
  </si>
  <si>
    <t>O usuário selecionou a sessão, assentos e alguns itens de bomboniere.</t>
  </si>
  <si>
    <t>1. Pressionar a tecla `F5` para recarregar a página do navegador antes de confirmar a compra. 2. Verificar se os dados selecionados foram mantidos.</t>
  </si>
  <si>
    <t>Ação de recarregar a página (F5).</t>
  </si>
  <si>
    <t>A sessão, os assentos escolhidos e os itens da bomboniere devem continuar selecionados na interface após o refresh.</t>
  </si>
  <si>
    <t>CA18.1</t>
  </si>
  <si>
    <t>Validar proteção contra execução de tags HTML nos dados do comprador</t>
  </si>
  <si>
    <t>O usuário está na tela de preenchimento dos dados do comprador.</t>
  </si>
  <si>
    <t>1. Inserir tag HTML no campo de Nome Completo (`&lt;b&gt;Ana&lt;/b&gt;`). 2. Concluir a compra e verificar a tela de confirmação.</t>
  </si>
  <si>
    <t>Nome: `&lt;b&gt;Ana&lt;/b&gt;`</t>
  </si>
  <si>
    <t>O conteúdo deve ser exibido estritamente como texto literal (sem aplicação de formatação de negrito ou execução de script).</t>
  </si>
  <si>
    <t>CA19.1</t>
  </si>
  <si>
    <t>Validar navegação e fluxo de compra completo utilizando apenas o teclado</t>
  </si>
  <si>
    <t>O sistema está aberto na página inicial, sem o uso do mouse.</t>
  </si>
  <si>
    <t>1. Utilizar as teclas `Tab`, `Shift+Tab`, setas direcionais, `Enter` e `Espaço`. 2. Selecionar filme, sessão, assentos, preencher dados e confirmar a compra.</t>
  </si>
  <si>
    <t>Comandos exclusivos via teclado.</t>
  </si>
  <si>
    <t>Toda a jornada de compra deve ser concluída com sucesso sem a necessidade de interagir com o mouse.</t>
  </si>
  <si>
    <t>CA20.1</t>
  </si>
  <si>
    <t>Validar formatação padrão brasileira de moeda em todos os campos de valores</t>
  </si>
  <si>
    <t>O usuário adicionou ingressos e itens ao carrinho.</t>
  </si>
  <si>
    <t>1. Inspecionar todas as linhas de resumo de preços (ingressos, taxa, bomboniere, descontos e total).</t>
  </si>
  <si>
    <t>Valores calculados no carrinho.</t>
  </si>
  <si>
    <t>Todos os valores monetários devem seguir rigorosamente o padrão brasileiro com o prefixo 'R$', vírgula como separador decimal e duas casas decimais (ex: R$ 23,70).</t>
  </si>
  <si>
    <t>Erro ao carregar lista de filmes na etapa 1</t>
  </si>
  <si>
    <t>RN-01: O sistema deve carregar a lista de filmes disponíveis via dados.js ao iniciar.</t>
  </si>
  <si>
    <t>CA-01: A seção de filmes deve exibir os pôsteres e horários corretamente.</t>
  </si>
  <si>
    <t>CT-01: Validar carregamento inicial da lista de filmes</t>
  </si>
  <si>
    <t>Critica</t>
  </si>
  <si>
    <t>Nenhum (carregamento automático)</t>
  </si>
  <si>
    <t>Os filmes disponíveis devem aparecer listados com suas respectivas sessões.</t>
  </si>
  <si>
    <t>Mapa de assentos não exibe status atualizado após escolha da sessão</t>
  </si>
  <si>
    <t>RN-02: O mapa de assentos deve refletir o estado de ocupação (livre, ocupado) da sessão selecionada.</t>
  </si>
  <si>
    <t>CA-02: Assentos ocupados não devem permitir seleção.</t>
  </si>
  <si>
    <t>CT-02: Selecionar sessão e verificar mapa de assentos</t>
  </si>
  <si>
    <t>Sessão ID 1</t>
  </si>
  <si>
    <t>O mapa deve carregar indicando assentos livres e ocupados corretamente.</t>
  </si>
  <si>
    <t>Campo de quantidade de meia-entrada aceita valores negativos</t>
  </si>
  <si>
    <t>RN-03: A quantidade de ingressos meia-entrada não pode ser inferior a zero.</t>
  </si>
  <si>
    <t>CA-03: O input 'qtdMeia' deve ter min=0 e bloquear valores negativos.</t>
  </si>
  <si>
    <t>CT-03: Inserir valor negativo na meia-entrada</t>
  </si>
  <si>
    <t>Media</t>
  </si>
  <si>
    <t>Valor: -1</t>
  </si>
  <si>
    <t>O sistema deve impedir o valor negativo ou tratá-lo como 0, não alterando o total para menos.</t>
  </si>
  <si>
    <t>Validação incorreta de formato de CPF na Etapa 4</t>
  </si>
  <si>
    <t>RN-04: O CPF deve seguir o formato padrão '000.000.000-00'.</t>
  </si>
  <si>
    <t>CA-04: O campo CPF deve validar a estrutura antes de prosseguir.</t>
  </si>
  <si>
    <t>CT-04: Inserir CPF com caracteres inválidos ou incompletos</t>
  </si>
  <si>
    <t>1. Abrir o index.html no navegador.
2. Inspecionar a seção 'etapa-filme'.
3. Verificar se os filmes são renderizados.</t>
  </si>
  <si>
    <t>1. Abrir a página.
2. Clicar em uma sessão de filme.
3. Observar o mapa de assentos na etapa 2.</t>
  </si>
  <si>
    <t>1. Ir até a Etapa 2.
2. No campo 'Quantos ingressos são meia-entrada?', digitar '-1'.
3. Observar o comportamento do sistema.</t>
  </si>
  <si>
    <t>1. Navegar até a Etapa 4 (Seus dados).
2. Digitar '123' no campo CPF.
3. Tentar finalizar ou verificar validação.</t>
  </si>
  <si>
    <t>CPF: '123'</t>
  </si>
  <si>
    <t>O sistema deve apontar erro de formato ou preenchimento incompleto.</t>
  </si>
  <si>
    <t>Cupom de desconto válido não aplica o desconto no resumo</t>
  </si>
  <si>
    <t>RN-05: Cupons cadastrados em regras.js devem abater o valor correspondente do total.</t>
  </si>
  <si>
    <t>CA-05: Ao clicar em 'Aplicar', o resumo deve atualizar o valor descontado.</t>
  </si>
  <si>
    <t>CT-05: Aplicar cupom de desconto válido</t>
  </si>
  <si>
    <t>1. Preencher um pedido válido até a Etapa 5.
2. Digitar um cupom válido (ex: 'CINE10').
3. Clicar no botão 'Aplicar'.</t>
  </si>
  <si>
    <t>Cupom: 'CINE10'</t>
  </si>
  <si>
    <t>O valor total no resumo deve ser recalculado aplicando o desconto correspondente.</t>
  </si>
  <si>
    <t>Opção de parcelamento não aparece ao selecionar Cartão de Crédito</t>
  </si>
  <si>
    <t>RN-06: O bloco de parcelas deve ser exibido quando a forma de pagamento selecionada for Cartão de Crédito.</t>
  </si>
  <si>
    <t>CA-06: O campo #blocoParcelas deve mudar de hidden para visível ao marcar o rádio de cartão.</t>
  </si>
  <si>
    <t>CT-06: Selecionar forma de pagamento Cartão de Crédito</t>
  </si>
  <si>
    <t>Desconto de 5% do Pix não é aplicado automaticamente no total</t>
  </si>
  <si>
    <t>RN-07: Pagamentos via Pix devem conceder 5% de desconto sobre o valor total do pedido.</t>
  </si>
  <si>
    <t>CA-07: O resumo de valores deve recalcular aplicando o desconto do Pix.</t>
  </si>
  <si>
    <t>CT-07: Validar desconto de Pix no pagamento</t>
  </si>
  <si>
    <t>Erro de layout responsivo na seção de bomboniere em telas menores</t>
  </si>
  <si>
    <t>RN-08: A interface deve se adaptar corretamente a dispositivos móveis e resoluções menores.</t>
  </si>
  <si>
    <t>CA-08: Os itens da bomboniere não devem quebrar o alinhamento da grade em telas de smartphones.</t>
  </si>
  <si>
    <t>CT-08: Testar responsividade da bomboniere em viewport mobile</t>
  </si>
  <si>
    <t>Histórico de compras não persiste após atualizar a página</t>
  </si>
  <si>
    <t>RN-09: As compras confirmadas devem ser armazenadas (ex: localStorage) e exibidas na seção 'Minhas compras'.</t>
  </si>
  <si>
    <t>CA-09: O histórico deve manter os registros mesmo após o refresh do navegador.</t>
  </si>
  <si>
    <t>CT-09: Validar persistência do histórico de compras</t>
  </si>
  <si>
    <t>Botão 'Confirmar compra' permite envio com campos obrigatórios vazios</t>
  </si>
  <si>
    <t>RN-10: O sistema não deve permitir a confirmação da compra se o nome ou e-mail obrigatórios estiverem em branco.</t>
  </si>
  <si>
    <t>CA-10: Exibir mensagem de erro no elemento #mensagens caso dados obrigatórios faltem.</t>
  </si>
  <si>
    <t>CT-10: Tentar confirmar compra sem preencher dados do cliente</t>
  </si>
  <si>
    <t>Tempo de carregamento da página principal em conexão simulada Slow 4G.</t>
  </si>
  <si>
    <t>1. Abrir o Google Chrome DevTools. 2. Acessar a aba Network. 3. Configurar o throttling para 'Slow 4G' e marcar 'Disable cache'. 4. Acessar a página e registrar o tempo de load completo.</t>
  </si>
  <si>
    <t>A página deve ficar utilizável em até 3 segundos em conexão 'Slow 4G'.</t>
  </si>
  <si>
    <t>Nenhum</t>
  </si>
  <si>
    <t>Tamanho dos arquivos de imagem utilizados na aplicação.</t>
  </si>
  <si>
    <t>1. Inspecionar os recursos de imagem na aba Network do DevTools. 2. Verificar o tamanho (payload) de cada imagem carregada.</t>
  </si>
  <si>
    <t>Maior imagem com 180 KB</t>
  </si>
  <si>
    <t>Nenhuma imagem pode passar de 300 KB.</t>
  </si>
  <si>
    <t>Capacidade do sistema de sanitizar entradas e evitar execução de scripts/HTML injetados.</t>
  </si>
  <si>
    <t>1. Inserir tags HTML maliciosas ou de formatação (ex: &lt;b&gt;Ana&lt;/b&gt;) no campo de nome completo. 2. Concluir a compra e inspecionar a tela de confirmação.</t>
  </si>
  <si>
    <t>Exibido como texto literal (sem execução)</t>
  </si>
  <si>
    <t>Tudo o que o cliente digita é exibido como texto. Código HTML ou JavaScript digitado nunca é executado.</t>
  </si>
  <si>
    <t>Navegabilidade completa e funcionalidade do fluxo de compra sem o uso do mouse.</t>
  </si>
  <si>
    <t>1. Desconectar o mouse. 2. Utilizar exclusivamente as teclas Tab, Shift+Tab, setas direcionais, Enter e Espaço para percorrer todo o fluxo de escolha de filme, assentos, bomboniere e pagamento.</t>
  </si>
  <si>
    <t>Fluxo concluído com 100% de sucesso via teclado</t>
  </si>
  <si>
    <t>A compra inteira pode ser feita só com o teclado (Tab, Shift+Tab, setas, Enter e Espaço).</t>
  </si>
  <si>
    <t>Padronização da formatação de valores monetários na interface.</t>
  </si>
  <si>
    <t>1. Adicionar ingressos, itens de bomboniere e aplicar cupons. 2. Inspecionar visualmente todos os campos de exibição monetária no resumo do pedido.</t>
  </si>
  <si>
    <t>100% dos campos no formato R$ XX,XX</t>
  </si>
  <si>
    <t>Todos os valores em dinheiro aparecem no formato brasileiro, com R$, vírgula e duas casas decimais.</t>
  </si>
  <si>
    <t>if (hora &lt;= 17) { return 24; }</t>
  </si>
  <si>
    <t>Caminho verdadeiro (hora &lt;= 17)</t>
  </si>
  <si>
    <t>sessao = { hora: '14:00' }</t>
  </si>
  <si>
    <t>Retornar 24 (preço de matinê)</t>
  </si>
  <si>
    <t>if (hora &lt;= 17) { return 24; } else { return 32; }</t>
  </si>
  <si>
    <t>Caminho falso (hora &gt; 17)</t>
  </si>
  <si>
    <t>sessao = { hora: '20:30' }</t>
  </si>
  <si>
    <t>Retornar 32 (sessão a partir das 17:00)</t>
  </si>
  <si>
    <t>if (sessao.tipo === 'pre-estreia') { meias = 0; }</t>
  </si>
  <si>
    <t>Caminho verdadeiro (sessão do tipo pré-estreia)</t>
  </si>
  <si>
    <t>sessao = { tipo: 'pre-estreia', formato: '2D', hora: '22:00' }, quantidade = 1, quantidadeMeia = 1, precoBase = 32</t>
  </si>
  <si>
    <t>Zerar quantidade de meias, cobrando valor de inteira (R$ 32,00)</t>
  </si>
  <si>
    <t>if (subtotalBomboniere &gt;= 20) dentro do bloco CUPOM PIPOCA5</t>
  </si>
  <si>
    <t>Caminho falso (subtotal da bomboniere abaixo do limite interno da função)</t>
  </si>
  <si>
    <t>codigo = 'PIPOCA5', subtotalIngressos = 32, subtotalBomboniere = 15</t>
  </si>
  <si>
    <t>Retornar valido: false, valor: 0 e mensagem de restrição de bomboniere</t>
  </si>
  <si>
    <t>if (quantidadeIngressos &lt;= 0) { return 0; }</t>
  </si>
  <si>
    <t>Caminho verdadeiro (quantidade de ingressos menor ou igual a zero)</t>
  </si>
  <si>
    <t>quantidadeIngressos = 0, quantidadeItens = 2</t>
  </si>
  <si>
    <t>Retornar taxa igual a 0</t>
  </si>
  <si>
    <t>Verifica se o preço base cobrado para uma sessão de matinê (14:00) é de R$ 24,00.</t>
  </si>
  <si>
    <t>testar('AT01', 'Sessão 14:00 custa R$ 24,00', precoBaseSessao(sessao('orb-1400')), 24);</t>
  </si>
  <si>
    <t>PASSOU</t>
  </si>
  <si>
    <t>Verifica se o preço base cobrado para uma sessão após as 17:00 (21:00) é de R$ 32,00.</t>
  </si>
  <si>
    <t>testar('AT02', 'Sessão 21:00 custa R$ 32,00', precoBaseSessao(sessao('far-2100')), 32);</t>
  </si>
  <si>
    <t>Verifica o cálculo de ingressos considerando o adicional 3D (R$ 6,00 por ingresso às 20:30).</t>
  </si>
  <si>
    <t>testar('AT03', '2 inteiras em sessão 3D 20:30 custam R$ 76,00', calcularIngressos(sessao('orb-2030'), 2, 0, 32), 76);</t>
  </si>
  <si>
    <t>Verifica se sessões de pré-estreia desconsideram meia-entrada e cobram inteira.</t>
  </si>
  <si>
    <t>testar('AT04', 'Pré-estreia não aceita meia e cobra inteira', calcularIngressos(sessao('vid-2200'), 1, 1, 32), 38);</t>
  </si>
  <si>
    <t>FALHOU</t>
  </si>
  <si>
    <t>BUG-01 (Função aplica desconto de meia em pré-estreia)</t>
  </si>
  <si>
    <t>Verifica o cálculo da taxa de conveniência (R$ 2,50 por ingresso) sem incidir na bomboniere.</t>
  </si>
  <si>
    <t>testar('AT05', '2 ingressos e 2 itens geram R$ 10,00 de taxa', calcularTaxa(2, 2), 10);</t>
  </si>
  <si>
    <t>Verifica a recusa do cupom PIPOCA5 quando a bomboniere está abaixo de R$ 25,00.</t>
  </si>
  <si>
    <t>testar('AT06', 'PIPOCA5 recusado abaixo de R$ 25,00', calcularDescontoCupom('PIPOCA5', 32, 14).valido, false);</t>
  </si>
  <si>
    <t>BUG-02 (Validação de bomboniere no cupom verifica R$ 20,00 em vez de R$ 25,00)</t>
  </si>
  <si>
    <t>Verifica a validação de CPF inválido contendo menos de 10 dígitos.</t>
  </si>
  <si>
    <t>testar('AT07', 'CPF com menos de 10 dígitos é rejeitado', validarCPF('123456789'), false);</t>
  </si>
  <si>
    <t>O valor do ingresso exibido R$24,00</t>
  </si>
  <si>
    <t>O valor do ingresso exibido R$32,00</t>
  </si>
  <si>
    <t>O Valor do ingresso exibido R$ 70,00</t>
  </si>
  <si>
    <t>O valor exibido : R$25,20</t>
  </si>
  <si>
    <t>Valor exibido: R$ 19,20</t>
  </si>
  <si>
    <t>O setimo acento foi selecionado</t>
  </si>
  <si>
    <t>O acento e desmacado e valor e resetado</t>
  </si>
  <si>
    <t>O valor não saiu do valor 10</t>
  </si>
  <si>
    <t>Foi incluido o valor de conveniencia sobre os items da bomboniere</t>
  </si>
  <si>
    <t>O valor do cupom foi aplicado corretamente.</t>
  </si>
  <si>
    <t>A Aplicação de Cupom foi recusada</t>
  </si>
  <si>
    <t>O desconto do pix não foi removido</t>
  </si>
  <si>
    <t>O numero de parcelas esta com 3 parcelas</t>
  </si>
  <si>
    <t>O sistema mostrou a message quando digitou nome com 2 letras, e procegui quando digitou com 3 letras</t>
  </si>
  <si>
    <t xml:space="preserve">O sistema se recusou a continuar </t>
  </si>
  <si>
    <t>Todos os valores foram resetados</t>
  </si>
  <si>
    <t>O nome foi apresentado em negrito</t>
  </si>
  <si>
    <t>Não consegui escolher os acentos</t>
  </si>
  <si>
    <t>O valores esta corretos e exibido em real</t>
  </si>
  <si>
    <t>Todos os filmes estão renderizados</t>
  </si>
  <si>
    <t>Todos estão carregado corretamente de acordo com o filme</t>
  </si>
  <si>
    <t>O sistema não fz nada</t>
  </si>
  <si>
    <t>Uma messagem aparece dizendo que o cpf era invalido</t>
  </si>
  <si>
    <t xml:space="preserve">O disconto foi aplicado </t>
  </si>
  <si>
    <t>32,25 segundos</t>
  </si>
  <si>
    <t>{valido: false, valor: 0, mensagem: 'O cupom PIPOCA5 exige no mínimo R$ 25,00 em bomboniere.'}</t>
  </si>
  <si>
    <t>Valor retornado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</si>
</sst>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0"/>
      <name val="Arial"/>
      <family val="2"/>
    </font>
    <font>
      <sz val="10"/>
      <name val="Arial"/>
      <family val="2"/>
    </font>
    <font>
      <u/>
      <sz val="11"/>
      <color theme="1"/>
      <name val="Calibri"/>
      <family val="2"/>
      <charset val="1"/>
    </font>
    <font>
      <b/>
      <u/>
      <sz val="10"/>
      <color rgb="FFFFFFFF"/>
      <name val="Arial"/>
      <family val="2"/>
    </font>
    <font>
      <b/>
      <sz val="10"/>
      <name val="Arial"/>
      <family val="2"/>
    </font>
    <font>
      <u/>
      <sz val="11"/>
      <color theme="1"/>
      <name val="Calibri"/>
      <family val="2"/>
      <scheme val="minor"/>
    </font>
    <font>
      <b/>
      <sz val="14"/>
      <color rgb="FF1B244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  <fill>
      <patternFill patternType="solid">
        <fgColor rgb="FFFFF7DC"/>
        <bgColor indexed="64"/>
      </patternFill>
    </fill>
  </fills>
  <borders count="4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2" fillId="0" borderId="0" xfId="0" applyFont="1"/>
    <xf numFmtId="0" fontId="3" fillId="0" borderId="0" xfId="0" applyFont="1" applyAlignme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3" fillId="0" borderId="0" xfId="0" applyFont="1"/>
    <xf numFmtId="0" fontId="7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/>
    <xf numFmtId="0" fontId="0" fillId="3" borderId="1" xfId="0" applyFill="1" applyBorder="1"/>
    <xf numFmtId="0" fontId="8" fillId="5" borderId="1" xfId="0" applyFont="1" applyFill="1" applyBorder="1" applyAlignment="1">
      <alignment vertical="top" wrapText="1"/>
    </xf>
    <xf numFmtId="0" fontId="7" fillId="4" borderId="0" xfId="0" applyFont="1" applyFill="1"/>
    <xf numFmtId="0" fontId="0" fillId="4" borderId="0" xfId="0" applyFill="1"/>
    <xf numFmtId="0" fontId="5" fillId="2" borderId="1" xfId="0" applyFont="1" applyFill="1" applyBorder="1"/>
    <xf numFmtId="0" fontId="6" fillId="0" borderId="1" xfId="0" applyFont="1" applyBorder="1" applyAlignment="1">
      <alignment horizontal="center"/>
    </xf>
    <xf numFmtId="9" fontId="6" fillId="0" borderId="1" xfId="0" applyNumberFormat="1" applyFont="1" applyBorder="1" applyAlignment="1">
      <alignment horizontal="center"/>
    </xf>
    <xf numFmtId="14" fontId="5" fillId="3" borderId="1" xfId="0" applyNumberFormat="1" applyFont="1" applyFill="1" applyBorder="1" applyAlignment="1">
      <alignment vertical="top" wrapText="1"/>
    </xf>
    <xf numFmtId="20" fontId="5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vertical="top" wrapText="1"/>
    </xf>
    <xf numFmtId="0" fontId="11" fillId="0" borderId="0" xfId="0" applyFont="1"/>
    <xf numFmtId="0" fontId="0" fillId="0" borderId="0" xfId="0" applyFont="1"/>
    <xf numFmtId="0" fontId="12" fillId="4" borderId="1" xfId="0" applyFont="1" applyFill="1" applyBorder="1" applyAlignment="1">
      <alignment horizontal="center" vertical="top" wrapText="1"/>
    </xf>
    <xf numFmtId="0" fontId="13" fillId="2" borderId="1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1" fillId="6" borderId="3" xfId="1" applyFill="1" applyBorder="1" applyAlignment="1">
      <alignment vertical="top" wrapText="1"/>
    </xf>
    <xf numFmtId="0" fontId="14" fillId="6" borderId="3" xfId="1" applyFont="1" applyFill="1" applyBorder="1" applyAlignment="1">
      <alignment vertical="top" wrapText="1"/>
    </xf>
    <xf numFmtId="8" fontId="5" fillId="3" borderId="1" xfId="0" applyNumberFormat="1" applyFont="1" applyFill="1" applyBorder="1" applyAlignment="1">
      <alignment vertical="top" wrapText="1"/>
    </xf>
    <xf numFmtId="0" fontId="15" fillId="0" borderId="0" xfId="0" applyFont="1"/>
  </cellXfs>
  <cellStyles count="2">
    <cellStyle name="Normal" xfId="0" builtinId="0"/>
    <cellStyle name="Normal 2" xfId="1" xr:uid="{1A4B54C5-1465-4A49-A369-0CDE623FDEF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8" sqref="B8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494</v>
      </c>
    </row>
    <row r="5" spans="1:3" x14ac:dyDescent="0.3">
      <c r="A5" s="7" t="s">
        <v>50</v>
      </c>
      <c r="B5" s="8" t="s">
        <v>495</v>
      </c>
    </row>
    <row r="6" spans="1:3" x14ac:dyDescent="0.3">
      <c r="A6" s="7" t="s">
        <v>51</v>
      </c>
      <c r="B6" s="8" t="s">
        <v>496</v>
      </c>
      <c r="C6" s="9" t="s">
        <v>52</v>
      </c>
    </row>
    <row r="7" spans="1:3" x14ac:dyDescent="0.3">
      <c r="A7" s="7" t="s">
        <v>53</v>
      </c>
      <c r="B7" s="20">
        <v>46323</v>
      </c>
      <c r="C7" s="9" t="s">
        <v>54</v>
      </c>
    </row>
    <row r="8" spans="1:3" x14ac:dyDescent="0.3">
      <c r="A8" s="7" t="s">
        <v>55</v>
      </c>
      <c r="B8" s="22" t="s">
        <v>497</v>
      </c>
      <c r="C8" s="9" t="s">
        <v>56</v>
      </c>
    </row>
    <row r="9" spans="1:3" x14ac:dyDescent="0.3">
      <c r="A9" s="7" t="s">
        <v>57</v>
      </c>
      <c r="B9" s="8" t="s">
        <v>498</v>
      </c>
      <c r="C9" s="9" t="s">
        <v>58</v>
      </c>
    </row>
    <row r="10" spans="1:3" x14ac:dyDescent="0.3">
      <c r="A10" s="7" t="s">
        <v>59</v>
      </c>
      <c r="B10" s="21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C26" sqref="C2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8" t="s">
        <v>445</v>
      </c>
      <c r="D5" s="23" t="s">
        <v>499</v>
      </c>
    </row>
    <row r="6" spans="1:4" x14ac:dyDescent="0.3">
      <c r="A6" s="7" t="s">
        <v>70</v>
      </c>
      <c r="B6" s="11" t="s">
        <v>71</v>
      </c>
      <c r="C6" s="8" t="s">
        <v>435</v>
      </c>
      <c r="D6" s="8"/>
    </row>
    <row r="7" spans="1:4" x14ac:dyDescent="0.3">
      <c r="A7" s="7" t="s">
        <v>72</v>
      </c>
      <c r="B7" s="11" t="s">
        <v>73</v>
      </c>
      <c r="C7" s="8" t="s">
        <v>435</v>
      </c>
      <c r="D7" s="8"/>
    </row>
    <row r="8" spans="1:4" x14ac:dyDescent="0.3">
      <c r="A8" s="7" t="s">
        <v>74</v>
      </c>
      <c r="B8" s="11" t="s">
        <v>75</v>
      </c>
      <c r="C8" s="8" t="s">
        <v>435</v>
      </c>
      <c r="D8" s="8"/>
    </row>
    <row r="9" spans="1:4" x14ac:dyDescent="0.3">
      <c r="A9" s="7" t="s">
        <v>76</v>
      </c>
      <c r="B9" s="11" t="s">
        <v>77</v>
      </c>
      <c r="C9" s="8" t="s">
        <v>435</v>
      </c>
      <c r="D9" s="8"/>
    </row>
    <row r="10" spans="1:4" x14ac:dyDescent="0.3">
      <c r="A10" s="7" t="s">
        <v>78</v>
      </c>
      <c r="B10" s="11" t="s">
        <v>79</v>
      </c>
      <c r="C10" s="8" t="s">
        <v>435</v>
      </c>
      <c r="D10" s="8"/>
    </row>
    <row r="11" spans="1:4" x14ac:dyDescent="0.3">
      <c r="A11" s="7" t="s">
        <v>80</v>
      </c>
      <c r="B11" s="11" t="s">
        <v>81</v>
      </c>
      <c r="C11" s="8" t="s">
        <v>435</v>
      </c>
      <c r="D11" s="8"/>
    </row>
    <row r="12" spans="1:4" x14ac:dyDescent="0.3">
      <c r="A12" s="7" t="s">
        <v>82</v>
      </c>
      <c r="B12" s="11" t="s">
        <v>83</v>
      </c>
      <c r="C12" s="8" t="s">
        <v>435</v>
      </c>
      <c r="D12" s="8"/>
    </row>
    <row r="15" spans="1:4" x14ac:dyDescent="0.3">
      <c r="A15" s="12" t="s">
        <v>84</v>
      </c>
      <c r="B15" s="13" t="s">
        <v>436</v>
      </c>
    </row>
    <row r="16" spans="1:4" ht="45" customHeight="1" x14ac:dyDescent="0.3">
      <c r="A16" s="12" t="s">
        <v>85</v>
      </c>
      <c r="B16" s="13" t="s">
        <v>500</v>
      </c>
      <c r="D16" s="24"/>
    </row>
    <row r="20" spans="2:2" x14ac:dyDescent="0.3">
      <c r="B20" s="24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8" ht="17.399999999999999" x14ac:dyDescent="0.3">
      <c r="A1" s="1" t="s">
        <v>86</v>
      </c>
    </row>
    <row r="2" spans="1:8" x14ac:dyDescent="0.3">
      <c r="A2" s="2" t="s">
        <v>87</v>
      </c>
    </row>
    <row r="4" spans="1:8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8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8" x14ac:dyDescent="0.3">
      <c r="A6" s="7" t="s">
        <v>99</v>
      </c>
      <c r="B6" s="8" t="s">
        <v>483</v>
      </c>
      <c r="C6" s="23" t="s">
        <v>513</v>
      </c>
      <c r="D6" s="8" t="s">
        <v>467</v>
      </c>
      <c r="E6" s="23" t="s">
        <v>514</v>
      </c>
      <c r="F6" s="23" t="s">
        <v>515</v>
      </c>
    </row>
    <row r="7" spans="1:8" ht="26.4" x14ac:dyDescent="0.3">
      <c r="A7" s="7" t="s">
        <v>100</v>
      </c>
      <c r="B7" s="8" t="s">
        <v>94</v>
      </c>
      <c r="C7" s="23" t="s">
        <v>501</v>
      </c>
      <c r="D7" s="8" t="s">
        <v>459</v>
      </c>
      <c r="E7" s="23" t="s">
        <v>516</v>
      </c>
      <c r="F7" s="23" t="s">
        <v>517</v>
      </c>
    </row>
    <row r="8" spans="1:8" x14ac:dyDescent="0.3">
      <c r="A8" s="7" t="s">
        <v>101</v>
      </c>
      <c r="B8" s="8"/>
      <c r="C8" s="23"/>
      <c r="D8" s="8"/>
      <c r="E8" s="23"/>
      <c r="F8" s="23"/>
    </row>
    <row r="9" spans="1:8" x14ac:dyDescent="0.3">
      <c r="A9" s="7" t="s">
        <v>102</v>
      </c>
      <c r="B9" s="8"/>
      <c r="C9" s="23"/>
      <c r="D9" s="8"/>
      <c r="E9" s="23"/>
      <c r="F9" s="23"/>
    </row>
    <row r="10" spans="1:8" x14ac:dyDescent="0.3">
      <c r="A10" s="7" t="s">
        <v>103</v>
      </c>
      <c r="B10" s="8"/>
      <c r="C10" s="8"/>
      <c r="D10" s="8"/>
      <c r="E10" s="8"/>
      <c r="F10" s="8"/>
    </row>
    <row r="11" spans="1:8" x14ac:dyDescent="0.3">
      <c r="A11" s="7" t="s">
        <v>104</v>
      </c>
      <c r="B11" s="8"/>
      <c r="C11" s="8"/>
      <c r="D11" s="8"/>
      <c r="E11" s="8"/>
      <c r="F11" s="8"/>
    </row>
    <row r="12" spans="1:8" x14ac:dyDescent="0.3">
      <c r="A12" s="7" t="s">
        <v>105</v>
      </c>
      <c r="B12" s="8"/>
      <c r="C12" s="8"/>
      <c r="D12" s="8"/>
      <c r="E12" s="8"/>
      <c r="F12" s="8"/>
    </row>
    <row r="13" spans="1:8" x14ac:dyDescent="0.3">
      <c r="A13" s="7" t="s">
        <v>106</v>
      </c>
      <c r="B13" s="8"/>
      <c r="C13" s="8"/>
      <c r="D13" s="8"/>
      <c r="E13" s="8"/>
      <c r="F13" s="8"/>
    </row>
    <row r="14" spans="1:8" x14ac:dyDescent="0.3">
      <c r="A14" s="7" t="s">
        <v>107</v>
      </c>
      <c r="B14" s="8"/>
      <c r="C14" s="8"/>
      <c r="D14" s="8"/>
      <c r="E14" s="8"/>
      <c r="F14" s="8"/>
      <c r="H14" s="24"/>
    </row>
    <row r="15" spans="1:8" x14ac:dyDescent="0.3">
      <c r="A15" s="7" t="s">
        <v>108</v>
      </c>
      <c r="B15" s="8"/>
      <c r="C15" s="8"/>
      <c r="D15" s="8"/>
      <c r="E15" s="8"/>
      <c r="F15" s="8"/>
    </row>
    <row r="18" spans="5:6" x14ac:dyDescent="0.3">
      <c r="E18" s="24"/>
    </row>
    <row r="19" spans="5:6" x14ac:dyDescent="0.3">
      <c r="F19" s="25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4"/>
  <sheetViews>
    <sheetView showGridLines="0" topLeftCell="A13" zoomScaleNormal="100" workbookViewId="0">
      <selection activeCell="C34" sqref="C34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3" t="s">
        <v>512</v>
      </c>
    </row>
    <row r="5" spans="1:3" ht="42" customHeight="1" x14ac:dyDescent="0.3">
      <c r="A5" s="7" t="s">
        <v>112</v>
      </c>
      <c r="B5" s="23" t="s">
        <v>502</v>
      </c>
      <c r="C5" s="9" t="s">
        <v>113</v>
      </c>
    </row>
    <row r="6" spans="1:3" ht="42" customHeight="1" x14ac:dyDescent="0.3">
      <c r="A6" s="7" t="s">
        <v>114</v>
      </c>
      <c r="B6" s="23" t="s">
        <v>509</v>
      </c>
    </row>
    <row r="7" spans="1:3" ht="42" customHeight="1" x14ac:dyDescent="0.3">
      <c r="A7" s="7" t="s">
        <v>115</v>
      </c>
      <c r="B7" s="8" t="s">
        <v>452</v>
      </c>
      <c r="C7" s="9" t="s">
        <v>116</v>
      </c>
    </row>
    <row r="8" spans="1:3" ht="42" customHeight="1" x14ac:dyDescent="0.3">
      <c r="A8" s="7" t="s">
        <v>117</v>
      </c>
      <c r="B8" s="23" t="s">
        <v>503</v>
      </c>
    </row>
    <row r="9" spans="1:3" ht="42" customHeight="1" x14ac:dyDescent="0.3">
      <c r="A9" s="7" t="s">
        <v>118</v>
      </c>
      <c r="B9" s="23" t="s">
        <v>504</v>
      </c>
      <c r="C9" s="9" t="s">
        <v>119</v>
      </c>
    </row>
    <row r="10" spans="1:3" ht="42" customHeight="1" x14ac:dyDescent="0.3">
      <c r="A10" s="7" t="s">
        <v>120</v>
      </c>
      <c r="B10" s="23" t="s">
        <v>508</v>
      </c>
      <c r="C10" s="9" t="s">
        <v>121</v>
      </c>
    </row>
    <row r="11" spans="1:3" ht="42" customHeight="1" x14ac:dyDescent="0.3">
      <c r="A11" s="7" t="s">
        <v>122</v>
      </c>
      <c r="B11" s="23" t="s">
        <v>505</v>
      </c>
      <c r="C11" s="9" t="s">
        <v>123</v>
      </c>
    </row>
    <row r="12" spans="1:3" ht="42" customHeight="1" x14ac:dyDescent="0.3">
      <c r="A12" s="7" t="s">
        <v>124</v>
      </c>
      <c r="B12" s="23" t="s">
        <v>506</v>
      </c>
      <c r="C12" s="9" t="s">
        <v>125</v>
      </c>
    </row>
    <row r="13" spans="1:3" ht="42" customHeight="1" x14ac:dyDescent="0.3">
      <c r="A13" s="7" t="s">
        <v>126</v>
      </c>
      <c r="B13" s="23" t="s">
        <v>507</v>
      </c>
      <c r="C13" s="9" t="s">
        <v>127</v>
      </c>
    </row>
    <row r="14" spans="1:3" ht="42" customHeight="1" x14ac:dyDescent="0.3">
      <c r="A14" s="7" t="s">
        <v>128</v>
      </c>
      <c r="B14" s="23"/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8" t="s">
        <v>434</v>
      </c>
      <c r="C19" s="8" t="s">
        <v>510</v>
      </c>
    </row>
    <row r="20" spans="1:3" x14ac:dyDescent="0.3">
      <c r="A20" s="12" t="s">
        <v>135</v>
      </c>
      <c r="B20" s="8" t="s">
        <v>434</v>
      </c>
      <c r="C20" s="23" t="s">
        <v>518</v>
      </c>
    </row>
    <row r="21" spans="1:3" x14ac:dyDescent="0.3">
      <c r="A21" s="12" t="s">
        <v>136</v>
      </c>
      <c r="B21" s="8" t="s">
        <v>447</v>
      </c>
      <c r="C21" s="8"/>
    </row>
    <row r="22" spans="1:3" x14ac:dyDescent="0.3">
      <c r="A22" s="12" t="s">
        <v>137</v>
      </c>
      <c r="B22" s="8" t="s">
        <v>434</v>
      </c>
      <c r="C22" s="23" t="s">
        <v>519</v>
      </c>
    </row>
    <row r="23" spans="1:3" x14ac:dyDescent="0.3">
      <c r="A23" s="12" t="s">
        <v>138</v>
      </c>
      <c r="B23" s="8" t="s">
        <v>447</v>
      </c>
      <c r="C23" s="8"/>
    </row>
    <row r="24" spans="1:3" ht="26.4" x14ac:dyDescent="0.3">
      <c r="A24" s="12" t="s">
        <v>139</v>
      </c>
      <c r="B24" s="8" t="s">
        <v>434</v>
      </c>
      <c r="C24" s="23" t="s">
        <v>520</v>
      </c>
    </row>
    <row r="25" spans="1:3" x14ac:dyDescent="0.3">
      <c r="A25" s="12" t="s">
        <v>140</v>
      </c>
      <c r="B25" s="8" t="s">
        <v>434</v>
      </c>
      <c r="C25" s="23" t="s">
        <v>521</v>
      </c>
    </row>
    <row r="26" spans="1:3" x14ac:dyDescent="0.3">
      <c r="A26" s="12" t="s">
        <v>141</v>
      </c>
      <c r="B26" s="8" t="s">
        <v>447</v>
      </c>
      <c r="C26" s="8"/>
    </row>
    <row r="27" spans="1:3" x14ac:dyDescent="0.3">
      <c r="A27" s="12" t="s">
        <v>142</v>
      </c>
      <c r="B27" s="8" t="s">
        <v>447</v>
      </c>
      <c r="C27" s="8"/>
    </row>
    <row r="28" spans="1:3" x14ac:dyDescent="0.3">
      <c r="A28" s="12" t="s">
        <v>143</v>
      </c>
      <c r="B28" s="8" t="s">
        <v>447</v>
      </c>
      <c r="C28" s="8"/>
    </row>
    <row r="29" spans="1:3" ht="26.4" x14ac:dyDescent="0.3">
      <c r="A29" s="12" t="s">
        <v>144</v>
      </c>
      <c r="B29" s="23" t="s">
        <v>434</v>
      </c>
      <c r="C29" s="23" t="s">
        <v>522</v>
      </c>
    </row>
    <row r="30" spans="1:3" x14ac:dyDescent="0.3">
      <c r="A30" s="12" t="s">
        <v>145</v>
      </c>
      <c r="B30" s="8" t="s">
        <v>434</v>
      </c>
      <c r="C30" s="23" t="s">
        <v>523</v>
      </c>
    </row>
    <row r="34" spans="3:3" x14ac:dyDescent="0.3">
      <c r="C34" s="24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H15" activePane="bottomRight" state="frozen"/>
      <selection pane="topRight" activeCell="B1" sqref="B1"/>
      <selection pane="bottomLeft" activeCell="A6" sqref="A6"/>
      <selection pane="bottomRight" activeCell="C24" sqref="C24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26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52.8" x14ac:dyDescent="0.3">
      <c r="A6" s="7" t="s">
        <v>171</v>
      </c>
      <c r="B6" s="8" t="s">
        <v>432</v>
      </c>
      <c r="C6" s="23" t="s">
        <v>511</v>
      </c>
      <c r="D6" s="8" t="s">
        <v>162</v>
      </c>
      <c r="E6" s="8" t="s">
        <v>134</v>
      </c>
      <c r="F6" s="8" t="s">
        <v>163</v>
      </c>
      <c r="G6" s="23" t="s">
        <v>527</v>
      </c>
      <c r="H6" s="23" t="s">
        <v>528</v>
      </c>
      <c r="I6" s="23" t="s">
        <v>529</v>
      </c>
      <c r="J6" s="8" t="s">
        <v>530</v>
      </c>
      <c r="K6" s="23" t="s">
        <v>531</v>
      </c>
      <c r="L6" s="23" t="s">
        <v>749</v>
      </c>
      <c r="M6" s="8" t="s">
        <v>170</v>
      </c>
      <c r="N6" s="8"/>
      <c r="O6" s="8"/>
    </row>
    <row r="7" spans="1:15" ht="52.8" x14ac:dyDescent="0.3">
      <c r="A7" s="7" t="s">
        <v>172</v>
      </c>
      <c r="B7" s="8" t="s">
        <v>432</v>
      </c>
      <c r="C7" s="23" t="s">
        <v>532</v>
      </c>
      <c r="D7" s="8" t="s">
        <v>443</v>
      </c>
      <c r="E7" s="8" t="s">
        <v>134</v>
      </c>
      <c r="F7" s="8" t="s">
        <v>163</v>
      </c>
      <c r="G7" s="23" t="s">
        <v>533</v>
      </c>
      <c r="H7" s="23" t="s">
        <v>534</v>
      </c>
      <c r="I7" s="23" t="s">
        <v>535</v>
      </c>
      <c r="J7" s="8" t="s">
        <v>536</v>
      </c>
      <c r="K7" s="23" t="s">
        <v>537</v>
      </c>
      <c r="L7" s="23" t="s">
        <v>750</v>
      </c>
      <c r="M7" s="8" t="s">
        <v>170</v>
      </c>
      <c r="N7" s="8"/>
      <c r="O7" s="8"/>
    </row>
    <row r="8" spans="1:15" ht="52.8" x14ac:dyDescent="0.3">
      <c r="A8" s="7" t="s">
        <v>173</v>
      </c>
      <c r="B8" s="8" t="s">
        <v>442</v>
      </c>
      <c r="C8" s="23" t="s">
        <v>538</v>
      </c>
      <c r="D8" s="8" t="s">
        <v>162</v>
      </c>
      <c r="E8" s="8" t="s">
        <v>134</v>
      </c>
      <c r="F8" s="8" t="s">
        <v>163</v>
      </c>
      <c r="G8" s="23" t="s">
        <v>539</v>
      </c>
      <c r="H8" s="23" t="s">
        <v>534</v>
      </c>
      <c r="I8" s="23" t="s">
        <v>540</v>
      </c>
      <c r="J8" s="23" t="s">
        <v>541</v>
      </c>
      <c r="K8" s="23" t="s">
        <v>542</v>
      </c>
      <c r="L8" s="23" t="s">
        <v>751</v>
      </c>
      <c r="M8" s="8" t="s">
        <v>445</v>
      </c>
      <c r="N8" s="8"/>
      <c r="O8" s="8"/>
    </row>
    <row r="9" spans="1:15" ht="66" x14ac:dyDescent="0.3">
      <c r="A9" s="7" t="s">
        <v>174</v>
      </c>
      <c r="B9" s="8" t="s">
        <v>453</v>
      </c>
      <c r="C9" s="23" t="s">
        <v>543</v>
      </c>
      <c r="D9" s="8" t="s">
        <v>162</v>
      </c>
      <c r="E9" s="8" t="s">
        <v>134</v>
      </c>
      <c r="F9" s="8" t="s">
        <v>163</v>
      </c>
      <c r="G9" s="23" t="s">
        <v>544</v>
      </c>
      <c r="H9" s="23" t="s">
        <v>534</v>
      </c>
      <c r="I9" s="23" t="s">
        <v>545</v>
      </c>
      <c r="J9" s="23" t="s">
        <v>546</v>
      </c>
      <c r="K9" s="22" t="s">
        <v>547</v>
      </c>
      <c r="L9" s="23" t="s">
        <v>752</v>
      </c>
      <c r="M9" s="8" t="s">
        <v>445</v>
      </c>
      <c r="N9" s="8"/>
      <c r="O9" s="8"/>
    </row>
    <row r="10" spans="1:15" ht="66" x14ac:dyDescent="0.3">
      <c r="A10" s="7" t="s">
        <v>175</v>
      </c>
      <c r="B10" s="8" t="s">
        <v>461</v>
      </c>
      <c r="C10" s="23" t="s">
        <v>524</v>
      </c>
      <c r="D10" s="22" t="s">
        <v>162</v>
      </c>
      <c r="E10" s="8" t="s">
        <v>134</v>
      </c>
      <c r="F10" s="8" t="s">
        <v>163</v>
      </c>
      <c r="G10" s="23" t="s">
        <v>548</v>
      </c>
      <c r="H10" s="23" t="s">
        <v>534</v>
      </c>
      <c r="I10" s="23" t="s">
        <v>549</v>
      </c>
      <c r="J10" s="8" t="s">
        <v>550</v>
      </c>
      <c r="K10" s="23" t="s">
        <v>551</v>
      </c>
      <c r="L10" s="23" t="s">
        <v>753</v>
      </c>
      <c r="M10" s="8" t="s">
        <v>445</v>
      </c>
      <c r="N10" s="8"/>
      <c r="O10" s="8"/>
    </row>
    <row r="11" spans="1:15" ht="39.6" x14ac:dyDescent="0.3">
      <c r="A11" s="7" t="s">
        <v>176</v>
      </c>
      <c r="B11" s="8" t="s">
        <v>468</v>
      </c>
      <c r="C11" s="23" t="s">
        <v>525</v>
      </c>
      <c r="D11" s="8" t="s">
        <v>443</v>
      </c>
      <c r="E11" s="8" t="s">
        <v>134</v>
      </c>
      <c r="F11" s="8" t="s">
        <v>163</v>
      </c>
      <c r="G11" s="23" t="s">
        <v>552</v>
      </c>
      <c r="H11" s="23" t="s">
        <v>553</v>
      </c>
      <c r="I11" s="23" t="s">
        <v>554</v>
      </c>
      <c r="J11" s="8" t="s">
        <v>555</v>
      </c>
      <c r="K11" s="23" t="s">
        <v>556</v>
      </c>
      <c r="L11" s="23" t="s">
        <v>754</v>
      </c>
      <c r="M11" s="8" t="s">
        <v>445</v>
      </c>
      <c r="N11" s="8"/>
      <c r="O11" s="8"/>
    </row>
    <row r="12" spans="1:15" ht="52.8" x14ac:dyDescent="0.3">
      <c r="A12" s="7" t="s">
        <v>177</v>
      </c>
      <c r="B12" s="8" t="s">
        <v>471</v>
      </c>
      <c r="C12" s="8" t="s">
        <v>557</v>
      </c>
      <c r="D12" s="8" t="s">
        <v>162</v>
      </c>
      <c r="E12" s="8" t="s">
        <v>134</v>
      </c>
      <c r="F12" s="8" t="s">
        <v>163</v>
      </c>
      <c r="G12" s="8" t="s">
        <v>558</v>
      </c>
      <c r="H12" s="8" t="s">
        <v>559</v>
      </c>
      <c r="I12" s="8" t="s">
        <v>560</v>
      </c>
      <c r="J12" s="8" t="s">
        <v>561</v>
      </c>
      <c r="K12" s="8" t="s">
        <v>562</v>
      </c>
      <c r="L12" s="23" t="s">
        <v>755</v>
      </c>
      <c r="M12" s="22" t="s">
        <v>170</v>
      </c>
      <c r="N12" s="8"/>
      <c r="O12" s="8"/>
    </row>
    <row r="13" spans="1:15" ht="52.8" x14ac:dyDescent="0.3">
      <c r="A13" s="7" t="s">
        <v>178</v>
      </c>
      <c r="B13" s="8" t="s">
        <v>475</v>
      </c>
      <c r="C13" s="8" t="s">
        <v>526</v>
      </c>
      <c r="D13" s="8" t="s">
        <v>443</v>
      </c>
      <c r="E13" s="8" t="s">
        <v>134</v>
      </c>
      <c r="F13" s="8" t="s">
        <v>163</v>
      </c>
      <c r="G13" s="8" t="s">
        <v>563</v>
      </c>
      <c r="H13" s="8" t="s">
        <v>564</v>
      </c>
      <c r="I13" s="8" t="s">
        <v>565</v>
      </c>
      <c r="J13" s="8" t="s">
        <v>566</v>
      </c>
      <c r="K13" s="22" t="s">
        <v>567</v>
      </c>
      <c r="L13" s="23" t="s">
        <v>756</v>
      </c>
      <c r="M13" s="8" t="s">
        <v>170</v>
      </c>
      <c r="N13" s="8"/>
      <c r="O13" s="8"/>
    </row>
    <row r="14" spans="1:15" ht="66" x14ac:dyDescent="0.3">
      <c r="A14" s="7" t="s">
        <v>179</v>
      </c>
      <c r="B14" s="8" t="s">
        <v>479</v>
      </c>
      <c r="C14" s="23" t="s">
        <v>568</v>
      </c>
      <c r="D14" s="8" t="s">
        <v>162</v>
      </c>
      <c r="E14" s="8" t="s">
        <v>134</v>
      </c>
      <c r="F14" s="8" t="s">
        <v>163</v>
      </c>
      <c r="G14" s="23" t="s">
        <v>569</v>
      </c>
      <c r="H14" s="8" t="s">
        <v>570</v>
      </c>
      <c r="I14" s="23" t="s">
        <v>571</v>
      </c>
      <c r="J14" s="8" t="s">
        <v>572</v>
      </c>
      <c r="K14" s="8" t="s">
        <v>573</v>
      </c>
      <c r="L14" s="22" t="s">
        <v>757</v>
      </c>
      <c r="M14" s="8" t="s">
        <v>445</v>
      </c>
      <c r="N14" s="8"/>
      <c r="O14" s="8"/>
    </row>
    <row r="15" spans="1:15" ht="79.2" x14ac:dyDescent="0.3">
      <c r="A15" s="7" t="s">
        <v>180</v>
      </c>
      <c r="B15" s="8" t="s">
        <v>481</v>
      </c>
      <c r="C15" s="8" t="s">
        <v>574</v>
      </c>
      <c r="D15" s="8" t="s">
        <v>575</v>
      </c>
      <c r="E15" s="8" t="s">
        <v>134</v>
      </c>
      <c r="F15" s="8" t="s">
        <v>163</v>
      </c>
      <c r="G15" s="8" t="s">
        <v>576</v>
      </c>
      <c r="H15" s="8" t="s">
        <v>577</v>
      </c>
      <c r="I15" s="8" t="s">
        <v>578</v>
      </c>
      <c r="J15" s="8" t="s">
        <v>579</v>
      </c>
      <c r="K15" s="8" t="s">
        <v>580</v>
      </c>
      <c r="L15" s="22" t="s">
        <v>758</v>
      </c>
      <c r="M15" s="8" t="s">
        <v>170</v>
      </c>
      <c r="N15" s="8"/>
      <c r="O15" s="8"/>
    </row>
    <row r="16" spans="1:15" ht="52.8" x14ac:dyDescent="0.3">
      <c r="A16" s="7" t="s">
        <v>181</v>
      </c>
      <c r="B16" s="8" t="s">
        <v>222</v>
      </c>
      <c r="C16" s="8" t="s">
        <v>581</v>
      </c>
      <c r="D16" s="8" t="s">
        <v>443</v>
      </c>
      <c r="E16" s="8" t="s">
        <v>134</v>
      </c>
      <c r="F16" s="8" t="s">
        <v>163</v>
      </c>
      <c r="G16" s="8" t="s">
        <v>582</v>
      </c>
      <c r="H16" s="8" t="s">
        <v>583</v>
      </c>
      <c r="I16" s="8" t="s">
        <v>584</v>
      </c>
      <c r="J16" s="8" t="s">
        <v>585</v>
      </c>
      <c r="K16" s="8" t="s">
        <v>586</v>
      </c>
      <c r="L16" s="22" t="s">
        <v>759</v>
      </c>
      <c r="M16" s="8" t="s">
        <v>170</v>
      </c>
      <c r="N16" s="8"/>
      <c r="O16" s="8"/>
    </row>
    <row r="17" spans="1:15" s="25" customFormat="1" ht="39.6" x14ac:dyDescent="0.3">
      <c r="A17" s="27" t="s">
        <v>182</v>
      </c>
      <c r="B17" s="23" t="s">
        <v>483</v>
      </c>
      <c r="C17" s="23" t="s">
        <v>587</v>
      </c>
      <c r="D17" s="23" t="s">
        <v>162</v>
      </c>
      <c r="E17" s="23" t="s">
        <v>134</v>
      </c>
      <c r="F17" s="23" t="s">
        <v>163</v>
      </c>
      <c r="G17" s="23" t="s">
        <v>588</v>
      </c>
      <c r="H17" s="23" t="s">
        <v>589</v>
      </c>
      <c r="I17" s="23" t="s">
        <v>590</v>
      </c>
      <c r="J17" s="23" t="s">
        <v>591</v>
      </c>
      <c r="K17" s="23" t="s">
        <v>592</v>
      </c>
      <c r="L17" s="23" t="s">
        <v>760</v>
      </c>
      <c r="M17" s="23" t="s">
        <v>445</v>
      </c>
      <c r="N17" s="23"/>
      <c r="O17" s="23"/>
    </row>
    <row r="18" spans="1:15" ht="52.8" x14ac:dyDescent="0.3">
      <c r="A18" s="7" t="s">
        <v>183</v>
      </c>
      <c r="B18" s="8" t="s">
        <v>485</v>
      </c>
      <c r="C18" s="8" t="s">
        <v>593</v>
      </c>
      <c r="D18" s="8" t="s">
        <v>443</v>
      </c>
      <c r="E18" s="8" t="s">
        <v>134</v>
      </c>
      <c r="F18" s="8" t="s">
        <v>163</v>
      </c>
      <c r="G18" s="8" t="s">
        <v>594</v>
      </c>
      <c r="H18" s="8" t="s">
        <v>595</v>
      </c>
      <c r="I18" s="8" t="s">
        <v>596</v>
      </c>
      <c r="J18" s="8" t="s">
        <v>597</v>
      </c>
      <c r="K18" s="8" t="s">
        <v>598</v>
      </c>
      <c r="L18" s="22" t="s">
        <v>761</v>
      </c>
      <c r="M18" s="8" t="s">
        <v>170</v>
      </c>
      <c r="N18" s="8"/>
      <c r="O18" s="8"/>
    </row>
    <row r="19" spans="1:15" ht="52.8" x14ac:dyDescent="0.3">
      <c r="A19" s="7" t="s">
        <v>184</v>
      </c>
      <c r="B19" s="8" t="s">
        <v>94</v>
      </c>
      <c r="C19" s="8" t="s">
        <v>599</v>
      </c>
      <c r="D19" s="8" t="s">
        <v>443</v>
      </c>
      <c r="E19" s="8" t="s">
        <v>134</v>
      </c>
      <c r="F19" s="8" t="s">
        <v>163</v>
      </c>
      <c r="G19" s="8" t="s">
        <v>600</v>
      </c>
      <c r="H19" s="8" t="s">
        <v>601</v>
      </c>
      <c r="I19" s="8" t="s">
        <v>602</v>
      </c>
      <c r="J19" s="8" t="s">
        <v>603</v>
      </c>
      <c r="K19" s="8" t="s">
        <v>604</v>
      </c>
      <c r="L19" s="23" t="s">
        <v>762</v>
      </c>
      <c r="M19" s="8" t="s">
        <v>170</v>
      </c>
      <c r="N19" s="8"/>
      <c r="O19" s="8"/>
    </row>
    <row r="20" spans="1:15" ht="52.8" x14ac:dyDescent="0.3">
      <c r="A20" s="7" t="s">
        <v>185</v>
      </c>
      <c r="B20" s="8" t="s">
        <v>94</v>
      </c>
      <c r="C20" s="8" t="s">
        <v>161</v>
      </c>
      <c r="D20" s="8" t="s">
        <v>162</v>
      </c>
      <c r="E20" s="8" t="s">
        <v>134</v>
      </c>
      <c r="F20" s="8" t="s">
        <v>163</v>
      </c>
      <c r="G20" s="8" t="s">
        <v>605</v>
      </c>
      <c r="H20" s="8" t="s">
        <v>606</v>
      </c>
      <c r="I20" s="8" t="s">
        <v>607</v>
      </c>
      <c r="J20" s="8" t="s">
        <v>608</v>
      </c>
      <c r="K20" s="8" t="s">
        <v>609</v>
      </c>
      <c r="L20" s="22" t="s">
        <v>763</v>
      </c>
      <c r="M20" s="8" t="s">
        <v>170</v>
      </c>
      <c r="N20" s="8"/>
      <c r="O20" s="8"/>
    </row>
    <row r="21" spans="1:15" ht="52.8" x14ac:dyDescent="0.3">
      <c r="A21" s="7" t="s">
        <v>186</v>
      </c>
      <c r="B21" s="8" t="s">
        <v>489</v>
      </c>
      <c r="C21" s="8" t="s">
        <v>610</v>
      </c>
      <c r="D21" s="8" t="s">
        <v>137</v>
      </c>
      <c r="E21" s="8" t="s">
        <v>134</v>
      </c>
      <c r="F21" s="8" t="s">
        <v>163</v>
      </c>
      <c r="G21" s="8" t="s">
        <v>611</v>
      </c>
      <c r="H21" s="8" t="s">
        <v>612</v>
      </c>
      <c r="I21" s="8" t="s">
        <v>613</v>
      </c>
      <c r="J21" s="8" t="s">
        <v>614</v>
      </c>
      <c r="K21" s="8" t="s">
        <v>615</v>
      </c>
      <c r="L21" s="22" t="s">
        <v>764</v>
      </c>
      <c r="M21" s="8" t="s">
        <v>445</v>
      </c>
      <c r="N21" s="8"/>
      <c r="O21" s="8"/>
    </row>
    <row r="22" spans="1:15" ht="52.8" x14ac:dyDescent="0.3">
      <c r="A22" s="7" t="s">
        <v>187</v>
      </c>
      <c r="B22" s="8" t="s">
        <v>490</v>
      </c>
      <c r="C22" s="8" t="s">
        <v>616</v>
      </c>
      <c r="D22" s="8" t="s">
        <v>142</v>
      </c>
      <c r="E22" s="8" t="s">
        <v>142</v>
      </c>
      <c r="F22" s="8" t="s">
        <v>163</v>
      </c>
      <c r="G22" s="8" t="s">
        <v>617</v>
      </c>
      <c r="H22" s="8" t="s">
        <v>618</v>
      </c>
      <c r="I22" s="23" t="s">
        <v>619</v>
      </c>
      <c r="J22" s="8" t="s">
        <v>620</v>
      </c>
      <c r="K22" s="8" t="s">
        <v>621</v>
      </c>
      <c r="L22" s="23" t="s">
        <v>765</v>
      </c>
      <c r="M22" s="8" t="s">
        <v>445</v>
      </c>
      <c r="N22" s="8"/>
      <c r="O22" s="8"/>
    </row>
    <row r="23" spans="1:15" ht="52.8" x14ac:dyDescent="0.3">
      <c r="A23" s="7" t="s">
        <v>188</v>
      </c>
      <c r="B23" s="8" t="s">
        <v>491</v>
      </c>
      <c r="C23" s="8" t="s">
        <v>622</v>
      </c>
      <c r="D23" s="8" t="s">
        <v>137</v>
      </c>
      <c r="E23" s="8" t="s">
        <v>144</v>
      </c>
      <c r="F23" s="8" t="s">
        <v>163</v>
      </c>
      <c r="G23" s="8" t="s">
        <v>623</v>
      </c>
      <c r="H23" s="8" t="s">
        <v>624</v>
      </c>
      <c r="I23" s="8" t="s">
        <v>625</v>
      </c>
      <c r="J23" s="8" t="s">
        <v>626</v>
      </c>
      <c r="K23" s="8" t="s">
        <v>627</v>
      </c>
      <c r="L23" s="23" t="s">
        <v>766</v>
      </c>
      <c r="M23" s="8" t="s">
        <v>445</v>
      </c>
      <c r="N23" s="8"/>
      <c r="O23" s="8"/>
    </row>
    <row r="24" spans="1:15" ht="66" x14ac:dyDescent="0.3">
      <c r="A24" s="7" t="s">
        <v>189</v>
      </c>
      <c r="B24" s="8" t="s">
        <v>492</v>
      </c>
      <c r="C24" s="22" t="s">
        <v>628</v>
      </c>
      <c r="D24" s="8" t="s">
        <v>162</v>
      </c>
      <c r="E24" s="8" t="s">
        <v>134</v>
      </c>
      <c r="F24" s="8" t="s">
        <v>163</v>
      </c>
      <c r="G24" s="8" t="s">
        <v>629</v>
      </c>
      <c r="H24" s="8" t="s">
        <v>630</v>
      </c>
      <c r="I24" s="8" t="s">
        <v>631</v>
      </c>
      <c r="J24" s="8" t="s">
        <v>632</v>
      </c>
      <c r="K24" s="8" t="s">
        <v>633</v>
      </c>
      <c r="L24" s="23" t="s">
        <v>767</v>
      </c>
      <c r="M24" s="22" t="s">
        <v>170</v>
      </c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F10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23.44140625" customWidth="1"/>
    <col min="4" max="4" width="16" customWidth="1"/>
    <col min="5" max="5" width="25.88671875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72" x14ac:dyDescent="0.3">
      <c r="A6" s="7" t="s">
        <v>231</v>
      </c>
      <c r="B6" s="29" t="s">
        <v>634</v>
      </c>
      <c r="C6" s="29" t="s">
        <v>635</v>
      </c>
      <c r="D6" s="29" t="s">
        <v>636</v>
      </c>
      <c r="E6" s="29" t="s">
        <v>637</v>
      </c>
      <c r="F6" s="29" t="s">
        <v>134</v>
      </c>
      <c r="G6" s="29" t="s">
        <v>638</v>
      </c>
      <c r="H6" s="29" t="s">
        <v>41</v>
      </c>
      <c r="I6" s="29" t="s">
        <v>658</v>
      </c>
      <c r="J6" s="29" t="s">
        <v>639</v>
      </c>
      <c r="K6" s="29" t="s">
        <v>640</v>
      </c>
      <c r="L6" s="29" t="s">
        <v>768</v>
      </c>
      <c r="M6" s="29"/>
      <c r="N6" s="29"/>
      <c r="O6" s="29"/>
    </row>
    <row r="7" spans="1:15" ht="72" x14ac:dyDescent="0.3">
      <c r="A7" s="7" t="s">
        <v>232</v>
      </c>
      <c r="B7" s="29" t="s">
        <v>641</v>
      </c>
      <c r="C7" s="29" t="s">
        <v>642</v>
      </c>
      <c r="D7" s="29" t="s">
        <v>643</v>
      </c>
      <c r="E7" s="29" t="s">
        <v>644</v>
      </c>
      <c r="F7" s="29" t="s">
        <v>134</v>
      </c>
      <c r="G7" s="29" t="s">
        <v>41</v>
      </c>
      <c r="H7" s="29" t="s">
        <v>41</v>
      </c>
      <c r="I7" s="29" t="s">
        <v>659</v>
      </c>
      <c r="J7" s="29" t="s">
        <v>645</v>
      </c>
      <c r="K7" s="29" t="s">
        <v>646</v>
      </c>
      <c r="L7" s="30" t="s">
        <v>769</v>
      </c>
      <c r="M7" s="29"/>
      <c r="N7" s="29"/>
      <c r="O7" s="29"/>
    </row>
    <row r="8" spans="1:15" ht="57.6" x14ac:dyDescent="0.3">
      <c r="A8" s="7" t="s">
        <v>233</v>
      </c>
      <c r="B8" s="29" t="s">
        <v>647</v>
      </c>
      <c r="C8" s="29" t="s">
        <v>648</v>
      </c>
      <c r="D8" s="29" t="s">
        <v>649</v>
      </c>
      <c r="E8" s="29" t="s">
        <v>650</v>
      </c>
      <c r="F8" s="29" t="s">
        <v>134</v>
      </c>
      <c r="G8" s="29" t="s">
        <v>651</v>
      </c>
      <c r="H8" s="29" t="s">
        <v>651</v>
      </c>
      <c r="I8" s="29" t="s">
        <v>660</v>
      </c>
      <c r="J8" s="29" t="s">
        <v>652</v>
      </c>
      <c r="K8" s="29" t="s">
        <v>653</v>
      </c>
      <c r="L8" s="29" t="s">
        <v>770</v>
      </c>
      <c r="M8" s="29"/>
      <c r="N8" s="29"/>
      <c r="O8" s="29"/>
    </row>
    <row r="9" spans="1:15" ht="57.6" x14ac:dyDescent="0.3">
      <c r="A9" s="7" t="s">
        <v>234</v>
      </c>
      <c r="B9" s="29" t="s">
        <v>654</v>
      </c>
      <c r="C9" s="29" t="s">
        <v>655</v>
      </c>
      <c r="D9" s="29" t="s">
        <v>656</v>
      </c>
      <c r="E9" s="29" t="s">
        <v>657</v>
      </c>
      <c r="F9" s="29" t="s">
        <v>487</v>
      </c>
      <c r="G9" s="29" t="s">
        <v>651</v>
      </c>
      <c r="H9" s="29" t="s">
        <v>651</v>
      </c>
      <c r="I9" s="29" t="s">
        <v>661</v>
      </c>
      <c r="J9" s="29" t="s">
        <v>662</v>
      </c>
      <c r="K9" s="29" t="s">
        <v>663</v>
      </c>
      <c r="L9" s="29" t="s">
        <v>771</v>
      </c>
      <c r="M9" s="29"/>
      <c r="N9" s="29"/>
      <c r="O9" s="29"/>
    </row>
    <row r="10" spans="1:15" x14ac:dyDescent="0.3">
      <c r="A10" s="7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spans="1:15" ht="72" x14ac:dyDescent="0.3">
      <c r="A11" s="27" t="s">
        <v>235</v>
      </c>
      <c r="B11" s="29" t="s">
        <v>664</v>
      </c>
      <c r="C11" s="29" t="s">
        <v>665</v>
      </c>
      <c r="D11" s="29" t="s">
        <v>666</v>
      </c>
      <c r="E11" s="29" t="s">
        <v>667</v>
      </c>
      <c r="F11" s="29" t="s">
        <v>135</v>
      </c>
      <c r="G11" s="29" t="s">
        <v>41</v>
      </c>
      <c r="H11" s="29" t="s">
        <v>41</v>
      </c>
      <c r="I11" s="29" t="s">
        <v>668</v>
      </c>
      <c r="J11" s="29" t="s">
        <v>669</v>
      </c>
      <c r="K11" s="29" t="s">
        <v>670</v>
      </c>
      <c r="L11" s="29" t="s">
        <v>772</v>
      </c>
      <c r="M11" s="29"/>
      <c r="N11" s="29"/>
      <c r="O11" s="29"/>
    </row>
    <row r="12" spans="1:15" ht="19.8" customHeight="1" x14ac:dyDescent="0.3">
      <c r="A12" s="7" t="s">
        <v>236</v>
      </c>
      <c r="B12" s="29" t="s">
        <v>671</v>
      </c>
      <c r="C12" s="29" t="s">
        <v>672</v>
      </c>
      <c r="D12" s="29" t="s">
        <v>673</v>
      </c>
      <c r="E12" s="29" t="s">
        <v>674</v>
      </c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spans="1:15" ht="15.6" customHeight="1" x14ac:dyDescent="0.3">
      <c r="A13" s="7" t="s">
        <v>237</v>
      </c>
      <c r="B13" s="29" t="s">
        <v>675</v>
      </c>
      <c r="C13" s="29" t="s">
        <v>676</v>
      </c>
      <c r="D13" s="29" t="s">
        <v>677</v>
      </c>
      <c r="E13" s="29" t="s">
        <v>678</v>
      </c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spans="1:15" ht="22.2" customHeight="1" x14ac:dyDescent="0.3">
      <c r="A14" s="7" t="s">
        <v>238</v>
      </c>
      <c r="B14" s="29" t="s">
        <v>679</v>
      </c>
      <c r="C14" s="29" t="s">
        <v>680</v>
      </c>
      <c r="D14" s="29" t="s">
        <v>681</v>
      </c>
      <c r="E14" s="29" t="s">
        <v>682</v>
      </c>
      <c r="F14" s="29"/>
      <c r="G14" s="29"/>
      <c r="H14" s="29"/>
      <c r="I14" s="29"/>
      <c r="J14" s="29"/>
      <c r="K14" s="29"/>
      <c r="L14" s="29"/>
      <c r="M14" s="29"/>
      <c r="N14" s="29"/>
      <c r="O14" s="29"/>
    </row>
    <row r="15" spans="1:15" ht="26.4" customHeight="1" x14ac:dyDescent="0.3">
      <c r="A15" s="7" t="s">
        <v>239</v>
      </c>
      <c r="B15" s="29" t="s">
        <v>683</v>
      </c>
      <c r="C15" s="29" t="s">
        <v>684</v>
      </c>
      <c r="D15" s="29" t="s">
        <v>685</v>
      </c>
      <c r="E15" s="29" t="s">
        <v>686</v>
      </c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 spans="1:15" ht="21.6" customHeight="1" x14ac:dyDescent="0.3">
      <c r="A16" s="7" t="s">
        <v>240</v>
      </c>
      <c r="B16" s="29" t="s">
        <v>687</v>
      </c>
      <c r="C16" s="29" t="s">
        <v>688</v>
      </c>
      <c r="D16" s="29" t="s">
        <v>689</v>
      </c>
      <c r="E16" s="29" t="s">
        <v>690</v>
      </c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1:15" x14ac:dyDescent="0.3">
      <c r="A17" s="7" t="s">
        <v>241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247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23"/>
      <c r="M24" s="8"/>
      <c r="N24" s="8"/>
      <c r="O24" s="8"/>
    </row>
    <row r="25" spans="1:15" x14ac:dyDescent="0.3">
      <c r="A25" s="7" t="s">
        <v>249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251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252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254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255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256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257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259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0" sqref="H10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260</v>
      </c>
    </row>
    <row r="2" spans="1:10" x14ac:dyDescent="0.3">
      <c r="A2" s="2" t="s">
        <v>261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262</v>
      </c>
      <c r="E4" s="10" t="s">
        <v>263</v>
      </c>
      <c r="F4" s="10" t="s">
        <v>264</v>
      </c>
      <c r="G4" s="10" t="s">
        <v>265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266</v>
      </c>
      <c r="B5" s="14" t="s">
        <v>139</v>
      </c>
      <c r="C5" s="14" t="s">
        <v>267</v>
      </c>
      <c r="D5" s="14" t="s">
        <v>268</v>
      </c>
      <c r="E5" s="14" t="s">
        <v>269</v>
      </c>
      <c r="F5" s="14" t="s">
        <v>270</v>
      </c>
      <c r="G5" s="14" t="s">
        <v>271</v>
      </c>
      <c r="H5" s="14" t="s">
        <v>170</v>
      </c>
      <c r="I5" s="14"/>
      <c r="J5" s="14" t="s">
        <v>272</v>
      </c>
    </row>
    <row r="6" spans="1:10" ht="52.8" x14ac:dyDescent="0.3">
      <c r="A6" s="7" t="s">
        <v>273</v>
      </c>
      <c r="B6" s="8" t="s">
        <v>138</v>
      </c>
      <c r="C6" s="8" t="s">
        <v>267</v>
      </c>
      <c r="D6" s="8" t="s">
        <v>691</v>
      </c>
      <c r="E6" s="8" t="s">
        <v>692</v>
      </c>
      <c r="F6" s="23" t="s">
        <v>773</v>
      </c>
      <c r="G6" s="8" t="s">
        <v>693</v>
      </c>
      <c r="H6" s="8" t="s">
        <v>445</v>
      </c>
      <c r="I6" s="8"/>
      <c r="J6" s="8"/>
    </row>
    <row r="7" spans="1:10" ht="39.6" x14ac:dyDescent="0.3">
      <c r="A7" s="7" t="s">
        <v>274</v>
      </c>
      <c r="B7" s="8" t="s">
        <v>138</v>
      </c>
      <c r="C7" s="8" t="s">
        <v>267</v>
      </c>
      <c r="D7" s="8" t="s">
        <v>695</v>
      </c>
      <c r="E7" s="8" t="s">
        <v>696</v>
      </c>
      <c r="F7" s="8" t="s">
        <v>697</v>
      </c>
      <c r="G7" s="8" t="s">
        <v>698</v>
      </c>
      <c r="H7" s="8" t="s">
        <v>445</v>
      </c>
      <c r="I7" s="22"/>
      <c r="J7" s="8"/>
    </row>
    <row r="8" spans="1:10" ht="52.8" x14ac:dyDescent="0.3">
      <c r="A8" s="7" t="s">
        <v>275</v>
      </c>
      <c r="B8" s="8" t="s">
        <v>142</v>
      </c>
      <c r="C8" s="8" t="s">
        <v>490</v>
      </c>
      <c r="D8" s="8" t="s">
        <v>699</v>
      </c>
      <c r="E8" s="8" t="s">
        <v>700</v>
      </c>
      <c r="F8" s="8" t="s">
        <v>701</v>
      </c>
      <c r="G8" s="8" t="s">
        <v>702</v>
      </c>
      <c r="H8" s="8" t="s">
        <v>445</v>
      </c>
      <c r="I8" s="8"/>
      <c r="J8" s="8"/>
    </row>
    <row r="9" spans="1:10" ht="52.8" x14ac:dyDescent="0.3">
      <c r="A9" s="7" t="s">
        <v>276</v>
      </c>
      <c r="B9" s="8" t="s">
        <v>144</v>
      </c>
      <c r="C9" s="8" t="s">
        <v>491</v>
      </c>
      <c r="D9" s="8" t="s">
        <v>703</v>
      </c>
      <c r="E9" s="8" t="s">
        <v>704</v>
      </c>
      <c r="F9" s="8" t="s">
        <v>705</v>
      </c>
      <c r="G9" s="8" t="s">
        <v>706</v>
      </c>
      <c r="H9" s="23" t="s">
        <v>445</v>
      </c>
      <c r="I9" s="8"/>
      <c r="J9" s="8"/>
    </row>
    <row r="10" spans="1:10" ht="52.8" x14ac:dyDescent="0.3">
      <c r="A10" s="7" t="s">
        <v>277</v>
      </c>
      <c r="B10" s="8" t="s">
        <v>487</v>
      </c>
      <c r="C10" s="8" t="s">
        <v>492</v>
      </c>
      <c r="D10" s="8" t="s">
        <v>707</v>
      </c>
      <c r="E10" s="8" t="s">
        <v>708</v>
      </c>
      <c r="F10" s="8" t="s">
        <v>709</v>
      </c>
      <c r="G10" s="8" t="s">
        <v>710</v>
      </c>
      <c r="H10" s="23" t="s">
        <v>170</v>
      </c>
      <c r="I10" s="8" t="s">
        <v>694</v>
      </c>
      <c r="J10" s="8"/>
    </row>
    <row r="11" spans="1:10" x14ac:dyDescent="0.3">
      <c r="A11" s="7" t="s">
        <v>278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279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280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287</v>
      </c>
      <c r="B20" s="8"/>
      <c r="C20" s="8"/>
      <c r="D20" s="22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4" sqref="G14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288</v>
      </c>
    </row>
    <row r="2" spans="1:10" x14ac:dyDescent="0.3">
      <c r="A2" s="2" t="s">
        <v>289</v>
      </c>
    </row>
    <row r="4" spans="1:10" ht="31.5" customHeight="1" x14ac:dyDescent="0.3">
      <c r="A4" s="10" t="s">
        <v>64</v>
      </c>
      <c r="B4" s="10" t="s">
        <v>290</v>
      </c>
      <c r="C4" s="10" t="s">
        <v>291</v>
      </c>
      <c r="D4" s="10" t="s">
        <v>292</v>
      </c>
      <c r="E4" s="10" t="s">
        <v>293</v>
      </c>
      <c r="F4" s="10" t="s">
        <v>294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295</v>
      </c>
      <c r="B5" s="14" t="s">
        <v>296</v>
      </c>
      <c r="C5" s="14" t="s">
        <v>297</v>
      </c>
      <c r="D5" s="14" t="s">
        <v>298</v>
      </c>
      <c r="E5" s="14" t="s">
        <v>299</v>
      </c>
      <c r="F5" s="14" t="s">
        <v>300</v>
      </c>
      <c r="G5" s="14" t="s">
        <v>301</v>
      </c>
      <c r="H5" s="14" t="s">
        <v>170</v>
      </c>
      <c r="I5" s="14" t="s">
        <v>94</v>
      </c>
      <c r="J5" s="14"/>
    </row>
    <row r="6" spans="1:10" ht="26.4" x14ac:dyDescent="0.3">
      <c r="A6" s="7" t="s">
        <v>302</v>
      </c>
      <c r="B6" s="8" t="s">
        <v>438</v>
      </c>
      <c r="C6" s="8" t="s">
        <v>711</v>
      </c>
      <c r="D6" s="8" t="s">
        <v>712</v>
      </c>
      <c r="E6" s="8" t="s">
        <v>713</v>
      </c>
      <c r="F6" s="8" t="s">
        <v>714</v>
      </c>
      <c r="G6" s="8">
        <v>24</v>
      </c>
      <c r="H6" s="8" t="s">
        <v>170</v>
      </c>
      <c r="I6" s="8" t="s">
        <v>432</v>
      </c>
      <c r="J6" s="8"/>
    </row>
    <row r="7" spans="1:10" ht="26.4" x14ac:dyDescent="0.3">
      <c r="A7" s="7" t="s">
        <v>303</v>
      </c>
      <c r="B7" s="8" t="s">
        <v>438</v>
      </c>
      <c r="C7" s="8" t="s">
        <v>715</v>
      </c>
      <c r="D7" s="8" t="s">
        <v>716</v>
      </c>
      <c r="E7" s="8" t="s">
        <v>717</v>
      </c>
      <c r="F7" s="8" t="s">
        <v>718</v>
      </c>
      <c r="G7" s="8">
        <v>32</v>
      </c>
      <c r="H7" s="8" t="s">
        <v>170</v>
      </c>
      <c r="I7" s="8" t="s">
        <v>432</v>
      </c>
      <c r="J7" s="8"/>
    </row>
    <row r="8" spans="1:10" ht="39.6" x14ac:dyDescent="0.3">
      <c r="A8" s="7" t="s">
        <v>304</v>
      </c>
      <c r="B8" s="8" t="s">
        <v>450</v>
      </c>
      <c r="C8" s="8" t="s">
        <v>719</v>
      </c>
      <c r="D8" s="8" t="s">
        <v>720</v>
      </c>
      <c r="E8" s="8" t="s">
        <v>721</v>
      </c>
      <c r="F8" s="8" t="s">
        <v>722</v>
      </c>
      <c r="G8" s="31">
        <v>32</v>
      </c>
      <c r="H8" s="8" t="s">
        <v>170</v>
      </c>
      <c r="I8" s="8" t="s">
        <v>461</v>
      </c>
      <c r="J8" s="8"/>
    </row>
    <row r="9" spans="1:10" ht="66" x14ac:dyDescent="0.3">
      <c r="A9" s="7" t="s">
        <v>305</v>
      </c>
      <c r="B9" s="8" t="s">
        <v>473</v>
      </c>
      <c r="C9" s="8" t="s">
        <v>723</v>
      </c>
      <c r="D9" s="8" t="s">
        <v>724</v>
      </c>
      <c r="E9" s="8" t="s">
        <v>725</v>
      </c>
      <c r="F9" s="8" t="s">
        <v>726</v>
      </c>
      <c r="G9" s="23" t="s">
        <v>774</v>
      </c>
      <c r="H9" s="8" t="s">
        <v>170</v>
      </c>
      <c r="I9" s="8" t="s">
        <v>222</v>
      </c>
      <c r="J9" s="8"/>
    </row>
    <row r="10" spans="1:10" ht="52.8" x14ac:dyDescent="0.3">
      <c r="A10" s="7" t="s">
        <v>306</v>
      </c>
      <c r="B10" s="8" t="s">
        <v>469</v>
      </c>
      <c r="C10" s="8" t="s">
        <v>727</v>
      </c>
      <c r="D10" s="8" t="s">
        <v>728</v>
      </c>
      <c r="E10" s="8" t="s">
        <v>729</v>
      </c>
      <c r="F10" s="8" t="s">
        <v>730</v>
      </c>
      <c r="G10" s="23" t="s">
        <v>775</v>
      </c>
      <c r="H10" s="8" t="s">
        <v>170</v>
      </c>
      <c r="I10" s="8" t="s">
        <v>479</v>
      </c>
      <c r="J10" s="8"/>
    </row>
    <row r="11" spans="1:10" x14ac:dyDescent="0.3">
      <c r="A11" s="7" t="s">
        <v>307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308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309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310</v>
      </c>
      <c r="B14" s="8"/>
      <c r="C14" s="8"/>
      <c r="D14" s="8"/>
      <c r="E14" s="8"/>
      <c r="F14" s="8"/>
      <c r="G14" s="23"/>
      <c r="H14" s="8"/>
      <c r="I14" s="8"/>
      <c r="J14" s="8"/>
    </row>
    <row r="15" spans="1:10" x14ac:dyDescent="0.3">
      <c r="A15" s="7" t="s">
        <v>311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312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313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314</v>
      </c>
      <c r="B18" s="8"/>
      <c r="C18" s="8"/>
      <c r="D18" s="22"/>
      <c r="E18" s="8"/>
      <c r="F18" s="8"/>
      <c r="G18" s="8"/>
      <c r="H18" s="8"/>
      <c r="I18" s="8"/>
      <c r="J18" s="8"/>
    </row>
    <row r="19" spans="1:10" x14ac:dyDescent="0.3">
      <c r="A19" s="7" t="s">
        <v>315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316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317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318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319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320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321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8" sqref="I8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2.5546875" bestFit="1" customWidth="1"/>
    <col min="9" max="9" width="11.77734375" bestFit="1" customWidth="1"/>
  </cols>
  <sheetData>
    <row r="1" spans="1:9" ht="17.399999999999999" x14ac:dyDescent="0.3">
      <c r="A1" s="1" t="s">
        <v>322</v>
      </c>
    </row>
    <row r="2" spans="1:9" x14ac:dyDescent="0.3">
      <c r="A2" s="2" t="s">
        <v>323</v>
      </c>
    </row>
    <row r="4" spans="1:9" ht="31.5" customHeight="1" x14ac:dyDescent="0.3">
      <c r="A4" s="10" t="s">
        <v>64</v>
      </c>
      <c r="B4" s="10" t="s">
        <v>324</v>
      </c>
      <c r="C4" s="10" t="s">
        <v>325</v>
      </c>
      <c r="D4" s="10" t="s">
        <v>88</v>
      </c>
      <c r="E4" s="10" t="s">
        <v>326</v>
      </c>
      <c r="F4" s="10" t="s">
        <v>327</v>
      </c>
      <c r="G4" s="10" t="s">
        <v>328</v>
      </c>
      <c r="H4" s="10" t="s">
        <v>329</v>
      </c>
      <c r="I4" s="10" t="s">
        <v>158</v>
      </c>
    </row>
    <row r="5" spans="1:9" x14ac:dyDescent="0.3">
      <c r="A5" s="14" t="s">
        <v>330</v>
      </c>
      <c r="B5" s="14" t="s">
        <v>331</v>
      </c>
      <c r="C5" s="14" t="s">
        <v>332</v>
      </c>
      <c r="D5" s="14" t="s">
        <v>94</v>
      </c>
      <c r="E5" s="14" t="s">
        <v>333</v>
      </c>
      <c r="F5" s="14" t="s">
        <v>334</v>
      </c>
      <c r="G5" s="14" t="s">
        <v>334</v>
      </c>
      <c r="H5" s="14" t="s">
        <v>170</v>
      </c>
      <c r="I5" s="14"/>
    </row>
    <row r="6" spans="1:9" ht="26.4" x14ac:dyDescent="0.3">
      <c r="A6" s="7" t="s">
        <v>335</v>
      </c>
      <c r="B6" s="8" t="s">
        <v>438</v>
      </c>
      <c r="C6" s="8" t="s">
        <v>731</v>
      </c>
      <c r="D6" s="8" t="s">
        <v>432</v>
      </c>
      <c r="E6" s="8" t="s">
        <v>732</v>
      </c>
      <c r="F6" s="8">
        <v>24</v>
      </c>
      <c r="G6" s="8">
        <v>24</v>
      </c>
      <c r="H6" s="8" t="s">
        <v>733</v>
      </c>
      <c r="I6" s="8" t="s">
        <v>694</v>
      </c>
    </row>
    <row r="7" spans="1:9" ht="39.6" x14ac:dyDescent="0.3">
      <c r="A7" s="7" t="s">
        <v>336</v>
      </c>
      <c r="B7" s="8" t="s">
        <v>438</v>
      </c>
      <c r="C7" s="8" t="s">
        <v>734</v>
      </c>
      <c r="D7" s="8" t="s">
        <v>432</v>
      </c>
      <c r="E7" s="8" t="s">
        <v>735</v>
      </c>
      <c r="F7" s="8">
        <v>32</v>
      </c>
      <c r="G7" s="8">
        <v>32</v>
      </c>
      <c r="H7" s="8" t="s">
        <v>733</v>
      </c>
      <c r="I7" s="8" t="s">
        <v>694</v>
      </c>
    </row>
    <row r="8" spans="1:9" ht="39.6" x14ac:dyDescent="0.3">
      <c r="A8" s="7" t="s">
        <v>337</v>
      </c>
      <c r="B8" s="8" t="s">
        <v>450</v>
      </c>
      <c r="C8" s="8" t="s">
        <v>736</v>
      </c>
      <c r="D8" s="8" t="s">
        <v>442</v>
      </c>
      <c r="E8" s="8" t="s">
        <v>737</v>
      </c>
      <c r="F8" s="8">
        <v>76</v>
      </c>
      <c r="G8" s="8">
        <v>76</v>
      </c>
      <c r="H8" s="8" t="s">
        <v>733</v>
      </c>
      <c r="I8" s="23" t="s">
        <v>694</v>
      </c>
    </row>
    <row r="9" spans="1:9" ht="79.2" x14ac:dyDescent="0.3">
      <c r="A9" s="7" t="s">
        <v>338</v>
      </c>
      <c r="B9" s="8" t="s">
        <v>450</v>
      </c>
      <c r="C9" s="8" t="s">
        <v>738</v>
      </c>
      <c r="D9" s="8" t="s">
        <v>461</v>
      </c>
      <c r="E9" s="8" t="s">
        <v>739</v>
      </c>
      <c r="F9" s="8">
        <v>38</v>
      </c>
      <c r="G9" s="8">
        <v>32</v>
      </c>
      <c r="H9" s="8" t="s">
        <v>740</v>
      </c>
      <c r="I9" s="8" t="s">
        <v>741</v>
      </c>
    </row>
    <row r="10" spans="1:9" ht="39.6" x14ac:dyDescent="0.3">
      <c r="A10" s="7" t="s">
        <v>339</v>
      </c>
      <c r="B10" s="8" t="s">
        <v>469</v>
      </c>
      <c r="C10" s="8" t="s">
        <v>742</v>
      </c>
      <c r="D10" s="8" t="s">
        <v>479</v>
      </c>
      <c r="E10" s="8" t="s">
        <v>743</v>
      </c>
      <c r="F10" s="8">
        <v>10</v>
      </c>
      <c r="G10" s="8">
        <v>10</v>
      </c>
      <c r="H10" s="8" t="s">
        <v>733</v>
      </c>
      <c r="I10" s="8" t="s">
        <v>694</v>
      </c>
    </row>
    <row r="11" spans="1:9" ht="105.6" x14ac:dyDescent="0.3">
      <c r="A11" s="7" t="s">
        <v>340</v>
      </c>
      <c r="B11" s="8" t="s">
        <v>473</v>
      </c>
      <c r="C11" s="8" t="s">
        <v>744</v>
      </c>
      <c r="D11" s="8" t="s">
        <v>222</v>
      </c>
      <c r="E11" s="8" t="s">
        <v>745</v>
      </c>
      <c r="F11" s="8" t="s">
        <v>301</v>
      </c>
      <c r="G11" s="8" t="s">
        <v>334</v>
      </c>
      <c r="H11" s="8" t="s">
        <v>740</v>
      </c>
      <c r="I11" s="8" t="s">
        <v>746</v>
      </c>
    </row>
    <row r="12" spans="1:9" ht="26.4" x14ac:dyDescent="0.3">
      <c r="A12" s="7" t="s">
        <v>341</v>
      </c>
      <c r="B12" s="8" t="s">
        <v>482</v>
      </c>
      <c r="C12" s="8" t="s">
        <v>747</v>
      </c>
      <c r="D12" s="8" t="s">
        <v>94</v>
      </c>
      <c r="E12" s="8" t="s">
        <v>748</v>
      </c>
      <c r="F12" s="8" t="s">
        <v>301</v>
      </c>
      <c r="G12" s="8" t="s">
        <v>301</v>
      </c>
      <c r="H12" s="8" t="s">
        <v>733</v>
      </c>
      <c r="I12" s="8" t="s">
        <v>694</v>
      </c>
    </row>
    <row r="13" spans="1:9" x14ac:dyDescent="0.3">
      <c r="A13" s="7" t="s">
        <v>342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343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344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345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346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347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348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349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350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351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352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353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354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355</v>
      </c>
    </row>
    <row r="2" spans="1:12" x14ac:dyDescent="0.3">
      <c r="A2" s="2" t="s">
        <v>356</v>
      </c>
    </row>
    <row r="4" spans="1:12" ht="31.5" customHeight="1" x14ac:dyDescent="0.3">
      <c r="A4" s="10" t="s">
        <v>64</v>
      </c>
      <c r="B4" s="10" t="s">
        <v>357</v>
      </c>
      <c r="C4" s="10" t="s">
        <v>358</v>
      </c>
      <c r="D4" s="10" t="s">
        <v>290</v>
      </c>
      <c r="E4" s="10" t="s">
        <v>359</v>
      </c>
      <c r="F4" s="10" t="s">
        <v>360</v>
      </c>
      <c r="G4" s="10" t="s">
        <v>361</v>
      </c>
      <c r="H4" s="10" t="s">
        <v>362</v>
      </c>
      <c r="I4" s="10" t="s">
        <v>363</v>
      </c>
      <c r="J4" s="10" t="s">
        <v>364</v>
      </c>
      <c r="K4" s="10" t="s">
        <v>365</v>
      </c>
      <c r="L4" s="10" t="s">
        <v>366</v>
      </c>
    </row>
    <row r="5" spans="1:12" ht="60" customHeight="1" x14ac:dyDescent="0.3">
      <c r="A5" s="7" t="s">
        <v>367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369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topLeftCell="A22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370</v>
      </c>
    </row>
    <row r="2" spans="1:2" x14ac:dyDescent="0.3">
      <c r="A2" s="2" t="s">
        <v>371</v>
      </c>
    </row>
    <row r="4" spans="1:2" x14ac:dyDescent="0.3">
      <c r="A4" s="15" t="s">
        <v>372</v>
      </c>
      <c r="B4" s="16"/>
    </row>
    <row r="5" spans="1:2" x14ac:dyDescent="0.3">
      <c r="A5" s="17" t="s">
        <v>373</v>
      </c>
      <c r="B5" s="18">
        <f>COUNTA('5_Casos_de_Teste'!G6:G45)</f>
        <v>19</v>
      </c>
    </row>
    <row r="6" spans="1:2" x14ac:dyDescent="0.3">
      <c r="A6" s="17" t="s">
        <v>374</v>
      </c>
      <c r="B6" s="18">
        <f>COUNTIF('5_Casos_de_Teste'!M6:M45,"Passou")</f>
        <v>10</v>
      </c>
    </row>
    <row r="7" spans="1:2" x14ac:dyDescent="0.3">
      <c r="A7" s="17" t="s">
        <v>375</v>
      </c>
      <c r="B7" s="18">
        <f>COUNTIF('5_Casos_de_Teste'!M6:M45,"Falhou")</f>
        <v>9</v>
      </c>
    </row>
    <row r="8" spans="1:2" x14ac:dyDescent="0.3">
      <c r="A8" s="17" t="s">
        <v>376</v>
      </c>
      <c r="B8" s="18">
        <f>COUNTIF('5_Casos_de_Teste'!M6:M45,"Bloqueado")</f>
        <v>0</v>
      </c>
    </row>
    <row r="9" spans="1:2" x14ac:dyDescent="0.3">
      <c r="A9" s="17" t="s">
        <v>377</v>
      </c>
      <c r="B9" s="18">
        <f>COUNTIF('5_Casos_de_Teste'!M6:M45,"Não executado")</f>
        <v>0</v>
      </c>
    </row>
    <row r="10" spans="1:2" x14ac:dyDescent="0.3">
      <c r="A10" s="17" t="s">
        <v>378</v>
      </c>
      <c r="B10" s="19">
        <f>IFERROR(B6/(B6+B7+B8),0)</f>
        <v>0.52631578947368418</v>
      </c>
    </row>
    <row r="11" spans="1:2" x14ac:dyDescent="0.3">
      <c r="A11" s="17" t="s">
        <v>379</v>
      </c>
      <c r="B11" s="18">
        <f>COUNTIF('5_Casos_de_Teste'!D6:D45,"Valor limite")</f>
        <v>6</v>
      </c>
    </row>
    <row r="12" spans="1:2" x14ac:dyDescent="0.3">
      <c r="A12" s="17" t="s">
        <v>380</v>
      </c>
      <c r="B12" s="18">
        <f>COUNTA('6_Bugs'!B6:B35)</f>
        <v>10</v>
      </c>
    </row>
    <row r="13" spans="1:2" x14ac:dyDescent="0.3">
      <c r="A13" s="17" t="s">
        <v>381</v>
      </c>
      <c r="B13" s="18">
        <f>COUNTIF('6_Bugs'!G6:G35,"Crítica")</f>
        <v>0</v>
      </c>
    </row>
    <row r="14" spans="1:2" x14ac:dyDescent="0.3">
      <c r="A14" s="17" t="s">
        <v>382</v>
      </c>
      <c r="B14" s="18">
        <f>COUNTIF('6_Bugs'!G6:G35,"Alta")</f>
        <v>2</v>
      </c>
    </row>
    <row r="15" spans="1:2" x14ac:dyDescent="0.3">
      <c r="A15" s="17" t="s">
        <v>383</v>
      </c>
      <c r="B15" s="18">
        <f>COUNTIF('6_Bugs'!G6:G35,"Média")</f>
        <v>0</v>
      </c>
    </row>
    <row r="16" spans="1:2" x14ac:dyDescent="0.3">
      <c r="A16" s="17" t="s">
        <v>384</v>
      </c>
      <c r="B16" s="18">
        <f>COUNTIF('6_Bugs'!G6:G35,"Baixa")</f>
        <v>0</v>
      </c>
    </row>
    <row r="17" spans="1:4" x14ac:dyDescent="0.3">
      <c r="A17" s="17" t="s">
        <v>385</v>
      </c>
      <c r="B17" s="18">
        <f>COUNTIF('6_Bugs'!N6:N35,"Corrigido*")</f>
        <v>0</v>
      </c>
    </row>
    <row r="18" spans="1:4" x14ac:dyDescent="0.3">
      <c r="A18" s="17" t="s">
        <v>386</v>
      </c>
      <c r="B18" s="18">
        <f>COUNTA('7_Nao_Funcionais'!H6:H20)</f>
        <v>5</v>
      </c>
    </row>
    <row r="19" spans="1:4" x14ac:dyDescent="0.3">
      <c r="A19" s="17" t="s">
        <v>387</v>
      </c>
      <c r="B19" s="18">
        <f>COUNTIF('7_Nao_Funcionais'!H6:H20,"Falhou")</f>
        <v>4</v>
      </c>
    </row>
    <row r="20" spans="1:4" x14ac:dyDescent="0.3">
      <c r="A20" s="17" t="s">
        <v>388</v>
      </c>
      <c r="B20" s="18">
        <f>COUNTA('8_Caixa_Branca'!C6:C25)</f>
        <v>5</v>
      </c>
    </row>
    <row r="21" spans="1:4" x14ac:dyDescent="0.3">
      <c r="A21" s="17" t="s">
        <v>389</v>
      </c>
      <c r="B21" s="18">
        <f>COUNTA('9_Automacao'!E6:E25)</f>
        <v>7</v>
      </c>
    </row>
    <row r="22" spans="1:4" x14ac:dyDescent="0.3">
      <c r="A22" s="17" t="s">
        <v>390</v>
      </c>
      <c r="B22" s="18">
        <f>COUNTIF('9_Automacao'!H6:H25,"Passou")</f>
        <v>5</v>
      </c>
    </row>
    <row r="23" spans="1:4" x14ac:dyDescent="0.3">
      <c r="A23" s="17" t="s">
        <v>391</v>
      </c>
      <c r="B23" s="18">
        <f>COUNTIF('9_Automacao'!H6:H25,"Falhou")</f>
        <v>2</v>
      </c>
    </row>
    <row r="25" spans="1:4" x14ac:dyDescent="0.3">
      <c r="A25" s="15" t="s">
        <v>392</v>
      </c>
      <c r="B25" s="16"/>
      <c r="C25" s="16"/>
    </row>
    <row r="26" spans="1:4" ht="48" customHeight="1" x14ac:dyDescent="0.3">
      <c r="A26" s="7" t="s">
        <v>393</v>
      </c>
      <c r="B26" s="28"/>
      <c r="C26" s="28"/>
      <c r="D26" s="9" t="s">
        <v>394</v>
      </c>
    </row>
    <row r="27" spans="1:4" ht="48" customHeight="1" x14ac:dyDescent="0.3">
      <c r="A27" s="7" t="s">
        <v>395</v>
      </c>
      <c r="B27" s="28"/>
      <c r="C27" s="28"/>
    </row>
    <row r="28" spans="1:4" ht="48" customHeight="1" x14ac:dyDescent="0.3">
      <c r="A28" s="7" t="s">
        <v>396</v>
      </c>
      <c r="B28" s="28"/>
      <c r="C28" s="28"/>
    </row>
    <row r="29" spans="1:4" ht="48" customHeight="1" x14ac:dyDescent="0.3">
      <c r="A29" s="7" t="s">
        <v>397</v>
      </c>
      <c r="B29" s="28"/>
      <c r="C29" s="28"/>
    </row>
    <row r="30" spans="1:4" ht="18" customHeight="1" x14ac:dyDescent="0.3">
      <c r="A30" s="7" t="s">
        <v>398</v>
      </c>
      <c r="B30" s="28"/>
      <c r="C30" s="28"/>
      <c r="D30" s="9" t="s">
        <v>399</v>
      </c>
    </row>
    <row r="31" spans="1:4" ht="48" customHeight="1" x14ac:dyDescent="0.3">
      <c r="A31" s="7" t="s">
        <v>400</v>
      </c>
      <c r="B31" s="28"/>
      <c r="C31" s="28"/>
      <c r="D31" s="9" t="s">
        <v>401</v>
      </c>
    </row>
    <row r="32" spans="1:4" ht="48" customHeight="1" x14ac:dyDescent="0.3">
      <c r="A32" s="7" t="s">
        <v>402</v>
      </c>
      <c r="B32" s="28"/>
      <c r="C32" s="28"/>
    </row>
    <row r="33" spans="1:3" ht="48" customHeight="1" x14ac:dyDescent="0.3">
      <c r="A33" s="7" t="s">
        <v>403</v>
      </c>
      <c r="B33" s="28"/>
      <c r="C33" s="28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32" t="s">
        <v>404</v>
      </c>
    </row>
    <row r="2" spans="1:7" x14ac:dyDescent="0.3">
      <c r="A2" s="2" t="s">
        <v>405</v>
      </c>
    </row>
    <row r="4" spans="1:7" ht="31.5" customHeight="1" x14ac:dyDescent="0.3">
      <c r="A4" s="10" t="s">
        <v>64</v>
      </c>
      <c r="B4" s="10" t="s">
        <v>219</v>
      </c>
      <c r="C4" s="10" t="s">
        <v>406</v>
      </c>
      <c r="D4" s="10" t="s">
        <v>407</v>
      </c>
      <c r="E4" s="10" t="s">
        <v>408</v>
      </c>
      <c r="F4" s="10" t="s">
        <v>409</v>
      </c>
      <c r="G4" s="10" t="s">
        <v>410</v>
      </c>
    </row>
    <row r="5" spans="1:7" x14ac:dyDescent="0.3">
      <c r="A5" s="7" t="s">
        <v>411</v>
      </c>
      <c r="B5" s="8"/>
      <c r="C5" s="8"/>
      <c r="D5" s="8"/>
      <c r="E5" s="8"/>
      <c r="F5" s="8"/>
      <c r="G5" s="8"/>
    </row>
    <row r="6" spans="1:7" x14ac:dyDescent="0.3">
      <c r="A6" s="7" t="s">
        <v>412</v>
      </c>
      <c r="B6" s="8"/>
      <c r="C6" s="8"/>
      <c r="D6" s="8"/>
      <c r="E6" s="8"/>
      <c r="F6" s="8"/>
      <c r="G6" s="8"/>
    </row>
    <row r="7" spans="1:7" x14ac:dyDescent="0.3">
      <c r="A7" s="7" t="s">
        <v>413</v>
      </c>
      <c r="B7" s="8"/>
      <c r="C7" s="8"/>
      <c r="D7" s="8"/>
      <c r="E7" s="8"/>
      <c r="F7" s="8"/>
      <c r="G7" s="8"/>
    </row>
    <row r="8" spans="1:7" x14ac:dyDescent="0.3">
      <c r="A8" s="7" t="s">
        <v>414</v>
      </c>
      <c r="B8" s="8"/>
      <c r="C8" s="8"/>
      <c r="D8" s="8"/>
      <c r="E8" s="8"/>
      <c r="F8" s="8"/>
      <c r="G8" s="8"/>
    </row>
    <row r="9" spans="1:7" x14ac:dyDescent="0.3">
      <c r="A9" s="7" t="s">
        <v>415</v>
      </c>
      <c r="B9" s="8"/>
      <c r="C9" s="8"/>
      <c r="D9" s="8"/>
      <c r="E9" s="8"/>
      <c r="F9" s="8"/>
      <c r="G9" s="8"/>
    </row>
    <row r="10" spans="1:7" x14ac:dyDescent="0.3">
      <c r="A10" s="7" t="s">
        <v>416</v>
      </c>
      <c r="B10" s="8"/>
      <c r="C10" s="8"/>
      <c r="D10" s="8"/>
      <c r="E10" s="8"/>
      <c r="F10" s="8"/>
      <c r="G10" s="8"/>
    </row>
    <row r="11" spans="1:7" x14ac:dyDescent="0.3">
      <c r="A11" s="7" t="s">
        <v>417</v>
      </c>
      <c r="B11" s="8"/>
      <c r="C11" s="8"/>
      <c r="D11" s="8"/>
      <c r="E11" s="8"/>
      <c r="F11" s="8"/>
      <c r="G11" s="8"/>
    </row>
    <row r="12" spans="1:7" x14ac:dyDescent="0.3">
      <c r="A12" s="7" t="s">
        <v>418</v>
      </c>
      <c r="B12" s="8"/>
      <c r="C12" s="8"/>
      <c r="D12" s="8"/>
      <c r="E12" s="8"/>
      <c r="F12" s="8"/>
      <c r="G12" s="8"/>
    </row>
    <row r="13" spans="1:7" x14ac:dyDescent="0.3">
      <c r="A13" s="7" t="s">
        <v>419</v>
      </c>
      <c r="B13" s="8"/>
      <c r="C13" s="8"/>
      <c r="D13" s="8"/>
      <c r="E13" s="8"/>
      <c r="F13" s="8"/>
      <c r="G13" s="8"/>
    </row>
    <row r="14" spans="1:7" x14ac:dyDescent="0.3">
      <c r="A14" s="7" t="s">
        <v>420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421</v>
      </c>
      <c r="C1" s="5" t="s">
        <v>422</v>
      </c>
      <c r="D1" s="5" t="s">
        <v>423</v>
      </c>
      <c r="E1" s="5" t="s">
        <v>157</v>
      </c>
      <c r="F1" s="5" t="s">
        <v>38</v>
      </c>
      <c r="G1" s="5" t="s">
        <v>215</v>
      </c>
      <c r="H1" s="5" t="s">
        <v>424</v>
      </c>
      <c r="I1" s="5" t="s">
        <v>425</v>
      </c>
      <c r="J1" s="5" t="s">
        <v>426</v>
      </c>
      <c r="K1" s="5" t="s">
        <v>84</v>
      </c>
      <c r="L1" s="5" t="s">
        <v>427</v>
      </c>
      <c r="M1" s="5" t="s">
        <v>428</v>
      </c>
      <c r="N1" s="5" t="s">
        <v>429</v>
      </c>
      <c r="O1" s="5" t="s">
        <v>430</v>
      </c>
      <c r="P1" s="5" t="s">
        <v>431</v>
      </c>
    </row>
    <row r="2" spans="1:16" x14ac:dyDescent="0.3">
      <c r="A2" s="6" t="s">
        <v>432</v>
      </c>
      <c r="B2" s="6" t="s">
        <v>162</v>
      </c>
      <c r="C2" s="6" t="s">
        <v>134</v>
      </c>
      <c r="D2" s="6" t="s">
        <v>433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434</v>
      </c>
      <c r="J2" s="6" t="s">
        <v>435</v>
      </c>
      <c r="K2" s="6" t="s">
        <v>436</v>
      </c>
      <c r="L2" s="6" t="s">
        <v>437</v>
      </c>
      <c r="M2" s="6" t="s">
        <v>438</v>
      </c>
      <c r="N2" s="6" t="s">
        <v>439</v>
      </c>
      <c r="O2" s="6" t="s">
        <v>440</v>
      </c>
      <c r="P2" s="6" t="s">
        <v>441</v>
      </c>
    </row>
    <row r="3" spans="1:16" x14ac:dyDescent="0.3">
      <c r="A3" s="6" t="s">
        <v>442</v>
      </c>
      <c r="B3" s="6" t="s">
        <v>443</v>
      </c>
      <c r="C3" s="6" t="s">
        <v>145</v>
      </c>
      <c r="D3" s="6" t="s">
        <v>444</v>
      </c>
      <c r="E3" s="6" t="s">
        <v>445</v>
      </c>
      <c r="F3" s="6" t="s">
        <v>41</v>
      </c>
      <c r="G3" s="6" t="s">
        <v>43</v>
      </c>
      <c r="H3" s="6" t="s">
        <v>446</v>
      </c>
      <c r="I3" s="6" t="s">
        <v>447</v>
      </c>
      <c r="J3" s="6" t="s">
        <v>445</v>
      </c>
      <c r="K3" s="6" t="s">
        <v>448</v>
      </c>
      <c r="L3" s="6" t="s">
        <v>449</v>
      </c>
      <c r="M3" s="6" t="s">
        <v>450</v>
      </c>
      <c r="N3" s="6" t="s">
        <v>451</v>
      </c>
      <c r="O3" s="6" t="s">
        <v>96</v>
      </c>
      <c r="P3" s="6" t="s">
        <v>452</v>
      </c>
    </row>
    <row r="4" spans="1:16" x14ac:dyDescent="0.3">
      <c r="A4" s="6" t="s">
        <v>453</v>
      </c>
      <c r="B4" s="6" t="s">
        <v>454</v>
      </c>
      <c r="C4" s="6" t="s">
        <v>135</v>
      </c>
      <c r="D4" s="6" t="s">
        <v>163</v>
      </c>
      <c r="E4" s="6" t="s">
        <v>455</v>
      </c>
      <c r="F4" s="6" t="s">
        <v>43</v>
      </c>
      <c r="G4" s="6" t="s">
        <v>45</v>
      </c>
      <c r="H4" s="6" t="s">
        <v>456</v>
      </c>
      <c r="L4" s="6" t="s">
        <v>457</v>
      </c>
      <c r="M4" s="6" t="s">
        <v>458</v>
      </c>
      <c r="N4" s="6" t="s">
        <v>230</v>
      </c>
      <c r="O4" s="6" t="s">
        <v>459</v>
      </c>
      <c r="P4" s="6" t="s">
        <v>460</v>
      </c>
    </row>
    <row r="5" spans="1:16" x14ac:dyDescent="0.3">
      <c r="A5" s="6" t="s">
        <v>461</v>
      </c>
      <c r="B5" s="6" t="s">
        <v>462</v>
      </c>
      <c r="C5" s="6" t="s">
        <v>136</v>
      </c>
      <c r="D5" s="6" t="s">
        <v>145</v>
      </c>
      <c r="E5" s="6" t="s">
        <v>463</v>
      </c>
      <c r="F5" s="6" t="s">
        <v>45</v>
      </c>
      <c r="H5" s="6" t="s">
        <v>464</v>
      </c>
      <c r="M5" s="6" t="s">
        <v>465</v>
      </c>
      <c r="N5" s="6" t="s">
        <v>466</v>
      </c>
      <c r="O5" s="6" t="s">
        <v>467</v>
      </c>
    </row>
    <row r="6" spans="1:16" x14ac:dyDescent="0.3">
      <c r="A6" s="6" t="s">
        <v>468</v>
      </c>
      <c r="B6" s="6" t="s">
        <v>137</v>
      </c>
      <c r="C6" s="6" t="s">
        <v>426</v>
      </c>
      <c r="M6" s="6" t="s">
        <v>469</v>
      </c>
      <c r="N6" s="6" t="s">
        <v>470</v>
      </c>
    </row>
    <row r="7" spans="1:16" x14ac:dyDescent="0.3">
      <c r="A7" s="6" t="s">
        <v>471</v>
      </c>
      <c r="B7" s="6" t="s">
        <v>472</v>
      </c>
      <c r="C7" s="6" t="s">
        <v>137</v>
      </c>
      <c r="M7" s="6" t="s">
        <v>473</v>
      </c>
      <c r="N7" s="6" t="s">
        <v>474</v>
      </c>
    </row>
    <row r="8" spans="1:16" x14ac:dyDescent="0.3">
      <c r="A8" s="6" t="s">
        <v>475</v>
      </c>
      <c r="B8" s="6" t="s">
        <v>476</v>
      </c>
      <c r="C8" s="6" t="s">
        <v>138</v>
      </c>
      <c r="M8" s="6" t="s">
        <v>477</v>
      </c>
      <c r="N8" s="6" t="s">
        <v>478</v>
      </c>
    </row>
    <row r="9" spans="1:16" x14ac:dyDescent="0.3">
      <c r="A9" s="6" t="s">
        <v>479</v>
      </c>
      <c r="B9" s="6" t="s">
        <v>480</v>
      </c>
      <c r="C9" s="6" t="s">
        <v>139</v>
      </c>
      <c r="M9" s="6" t="s">
        <v>296</v>
      </c>
    </row>
    <row r="10" spans="1:16" x14ac:dyDescent="0.3">
      <c r="A10" s="6" t="s">
        <v>481</v>
      </c>
      <c r="C10" s="6" t="s">
        <v>140</v>
      </c>
      <c r="M10" s="6" t="s">
        <v>482</v>
      </c>
    </row>
    <row r="11" spans="1:16" x14ac:dyDescent="0.3">
      <c r="A11" s="6" t="s">
        <v>222</v>
      </c>
      <c r="C11" s="6" t="s">
        <v>141</v>
      </c>
      <c r="M11" s="6" t="s">
        <v>331</v>
      </c>
    </row>
    <row r="12" spans="1:16" x14ac:dyDescent="0.3">
      <c r="A12" s="6" t="s">
        <v>483</v>
      </c>
      <c r="C12" s="6" t="s">
        <v>142</v>
      </c>
      <c r="M12" s="6" t="s">
        <v>484</v>
      </c>
    </row>
    <row r="13" spans="1:16" x14ac:dyDescent="0.3">
      <c r="A13" s="6" t="s">
        <v>485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486</v>
      </c>
      <c r="C15" s="6" t="s">
        <v>487</v>
      </c>
    </row>
    <row r="16" spans="1:16" x14ac:dyDescent="0.3">
      <c r="A16" s="6" t="s">
        <v>488</v>
      </c>
    </row>
    <row r="17" spans="1:1" x14ac:dyDescent="0.3">
      <c r="A17" s="6" t="s">
        <v>489</v>
      </c>
    </row>
    <row r="18" spans="1:1" x14ac:dyDescent="0.3">
      <c r="A18" s="6" t="s">
        <v>267</v>
      </c>
    </row>
    <row r="19" spans="1:1" x14ac:dyDescent="0.3">
      <c r="A19" s="6" t="s">
        <v>490</v>
      </c>
    </row>
    <row r="20" spans="1:1" x14ac:dyDescent="0.3">
      <c r="A20" s="6" t="s">
        <v>491</v>
      </c>
    </row>
    <row r="21" spans="1:1" x14ac:dyDescent="0.3">
      <c r="A21" s="6" t="s">
        <v>492</v>
      </c>
    </row>
    <row r="22" spans="1:1" x14ac:dyDescent="0.3">
      <c r="A22" s="6" t="s">
        <v>493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MARIA VITORIA CONCEIÇÃO LIMA</cp:lastModifiedBy>
  <cp:revision>0</cp:revision>
  <dcterms:created xsi:type="dcterms:W3CDTF">2026-10-28T21:26:22Z</dcterms:created>
  <dcterms:modified xsi:type="dcterms:W3CDTF">2026-10-31T00:05:02Z</dcterms:modified>
  <dc:language>en-US</dc:language>
</cp:coreProperties>
</file>