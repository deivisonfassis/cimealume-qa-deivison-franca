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Pictures\curso_ds\testes\git\cinelume-qa\relatorio\"/>
    </mc:Choice>
  </mc:AlternateContent>
  <xr:revisionPtr revIDLastSave="0" documentId="13_ncr:1_{E0F8592E-632E-4C44-A854-2013A6EAE24A}" xr6:coauthVersionLast="47" xr6:coauthVersionMax="47" xr10:uidLastSave="{00000000-0000-0000-0000-000000000000}"/>
  <bookViews>
    <workbookView xWindow="-108" yWindow="-108" windowWidth="23256" windowHeight="12456" tabRatio="500" firstSheet="1" activeTab="5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10" i="12" s="1"/>
  <c r="B5" i="12"/>
</calcChain>
</file>

<file path=xl/sharedStrings.xml><?xml version="1.0" encoding="utf-8"?>
<sst xmlns="http://schemas.openxmlformats.org/spreadsheetml/2006/main" count="696" uniqueCount="552">
  <si>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</si>
  <si>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</si>
  <si>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</si>
  <si>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</si>
  <si>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</si>
  <si>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</si>
  <si>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</si>
  <si>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</si>
  <si>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</si>
  <si>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</si>
  <si>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</si>
  <si>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</si>
  <si>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</si>
  <si>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</si>
  <si>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</si>
  <si>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</si>
  <si>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</si>
  <si>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</si>
  <si>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</si>
  <si>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</si>
  <si>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</si>
  <si>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</si>
  <si>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</si>
  <si>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</si>
  <si>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</si>
  <si>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</si>
  <si>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</si>
  <si>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</si>
  <si>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</si>
  <si>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</si>
  <si>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</si>
  <si>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</si>
  <si>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</si>
  <si>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</si>
  <si>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</si>
  <si>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</si>
  <si>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</si>
  <si>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</si>
  <si>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</si>
  <si>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</si>
  <si>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</si>
  <si>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</si>
  <si>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</si>
  <si>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</si>
  <si>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</si>
  <si>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</si>
  <si>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</si>
  <si>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</si>
  <si>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</si>
  <si>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</si>
  <si>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</si>
  <si>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</si>
  <si>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</si>
  <si>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</si>
  <si>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</si>
  <si>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</si>
  <si>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</si>
  <si>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</si>
  <si>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</si>
  <si>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</si>
  <si>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</si>
  <si>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</si>
  <si>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</si>
  <si>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</si>
  <si>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</si>
  <si>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</si>
  <si>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</si>
  <si>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</si>
  <si>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</si>
  <si>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</si>
  <si>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</si>
  <si>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</si>
  <si>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</si>
  <si>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</si>
  <si>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</si>
  <si>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</si>
  <si>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</si>
  <si>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</si>
  <si>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</si>
  <si>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</si>
  <si>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</si>
  <si>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</si>
  <si>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</si>
  <si>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</si>
  <si>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</si>
  <si>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</si>
  <si>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</si>
  <si>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</si>
  <si>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</si>
  <si>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</si>
  <si>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</si>
  <si>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</si>
  <si>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</si>
  <si>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</si>
  <si>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</si>
  <si>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</si>
  <si>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</si>
  <si>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</si>
  <si>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</si>
  <si>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</si>
  <si>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</si>
  <si>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</si>
  <si>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</si>
  <si>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</si>
  <si>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</si>
  <si>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</si>
  <si>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</si>
  <si>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</si>
  <si>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</si>
  <si>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</si>
  <si>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</si>
  <si>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</si>
  <si>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</si>
  <si>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</si>
  <si>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</si>
  <si>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</si>
  <si>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</si>
  <si>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</si>
  <si>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</si>
  <si>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</si>
  <si>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</si>
  <si>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</si>
  <si>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</si>
  <si>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</si>
  <si>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</si>
  <si>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</si>
  <si>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</si>
  <si>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</si>
  <si>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</si>
  <si>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</si>
  <si>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</si>
  <si>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</si>
  <si>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</si>
  <si>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</si>
  <si>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</si>
  <si>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</si>
  <si>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</si>
  <si>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</si>
  <si>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</si>
  <si>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</si>
  <si>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</si>
  <si>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</si>
  <si>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</si>
  <si>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</si>
  <si>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</si>
  <si>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</si>
  <si>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</si>
  <si>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</si>
  <si>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</si>
  <si>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</si>
  <si>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</si>
  <si>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</si>
  <si>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</si>
  <si>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</si>
  <si>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</si>
  <si>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</si>
  <si>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</si>
  <si>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</si>
  <si>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</si>
  <si>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</si>
  <si>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</si>
  <si>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</si>
  <si>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</si>
  <si>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</si>
  <si>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</si>
  <si>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</si>
  <si>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</si>
  <si>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</si>
  <si>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</si>
  <si>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</si>
  <si>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</si>
  <si>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</si>
  <si>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</si>
  <si>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</si>
  <si>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</si>
  <si>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</si>
  <si>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</si>
  <si>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</si>
  <si>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</si>
  <si>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</si>
  <si>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</si>
  <si>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</si>
  <si>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</si>
  <si>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</si>
  <si>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</si>
  <si>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</si>
  <si>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</si>
  <si>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</si>
  <si>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</si>
  <si>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</si>
  <si>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</si>
  <si>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</si>
  <si>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</si>
  <si>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</si>
  <si>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</si>
  <si>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</si>
  <si>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</si>
  <si>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</si>
  <si>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</si>
  <si>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</si>
  <si>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</si>
  <si>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</si>
  <si>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</si>
  <si>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</si>
  <si>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</si>
  <si>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</si>
  <si>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</si>
  <si>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</si>
  <si>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</si>
  <si>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</si>
  <si>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</si>
  <si>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</si>
  <si>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</si>
  <si>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</si>
  <si>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</si>
  <si>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</si>
  <si>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</si>
  <si>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</si>
  <si>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</si>
  <si>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</si>
  <si>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</si>
  <si>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</si>
  <si>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</si>
  <si>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</si>
  <si>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</si>
  <si>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</si>
  <si>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</si>
  <si>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</si>
  <si>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</si>
  <si>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</si>
  <si>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</si>
  <si>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</si>
  <si>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</si>
  <si>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</si>
  <si>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</si>
  <si>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</si>
  <si>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</si>
  <si>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</si>
  <si>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</si>
  <si>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</si>
  <si>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</si>
  <si>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</si>
  <si>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</si>
  <si>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</si>
  <si>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</si>
  <si>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</si>
  <si>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</si>
  <si>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</si>
  <si>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</si>
  <si>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</si>
  <si>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</si>
  <si>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</si>
  <si>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</si>
  <si>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</si>
  <si>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</si>
  <si>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</si>
  <si>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</si>
  <si>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</si>
  <si>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</si>
  <si>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</si>
  <si>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</si>
  <si>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</si>
  <si>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</si>
  <si>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</si>
  <si>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</si>
  <si>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</si>
  <si>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</si>
  <si>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</si>
  <si>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</si>
  <si>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</si>
  <si>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</si>
  <si>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</si>
  <si>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</si>
  <si>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</si>
  <si>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</si>
  <si>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</si>
  <si>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</si>
  <si>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</si>
  <si>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</si>
  <si>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</si>
  <si>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</si>
  <si>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</si>
  <si>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</si>
  <si>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</si>
  <si>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</si>
  <si>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</si>
  <si>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</si>
  <si>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</si>
  <si>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</si>
  <si>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</si>
  <si>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</si>
  <si>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</si>
  <si>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</si>
  <si>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</si>
  <si>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</si>
  <si>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</si>
  <si>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</si>
  <si>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</si>
  <si>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</si>
  <si>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</si>
  <si>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</si>
  <si>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</si>
  <si>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</si>
  <si>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</si>
  <si>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</si>
  <si>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</si>
  <si>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</si>
  <si>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</si>
  <si>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</si>
  <si>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</si>
  <si>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</si>
  <si>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</si>
  <si>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</si>
  <si>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</si>
  <si>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</si>
  <si>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</si>
  <si>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</si>
  <si>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</si>
  <si>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</si>
  <si>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</si>
  <si>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</si>
  <si>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</si>
  <si>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</si>
  <si>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</si>
  <si>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</si>
  <si>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</si>
  <si>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</si>
  <si>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</si>
  <si>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</si>
  <si>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</si>
  <si>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</si>
  <si>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</si>
  <si>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</si>
  <si>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</si>
  <si>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</si>
  <si>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</si>
  <si>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</si>
  <si>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</si>
  <si>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</si>
  <si>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</si>
  <si>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</si>
  <si>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</si>
  <si>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</si>
  <si>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</si>
  <si>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</si>
  <si>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</si>
  <si>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</si>
  <si>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</si>
  <si>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</si>
  <si>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</si>
  <si>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</si>
  <si>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</si>
  <si>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</si>
  <si>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</si>
  <si>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</si>
  <si>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</si>
  <si>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</si>
  <si>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</si>
  <si>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</si>
  <si>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</si>
  <si>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</si>
  <si>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</si>
  <si>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</si>
  <si>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</si>
  <si>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</si>
  <si>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</si>
  <si>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</si>
  <si>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</si>
  <si>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</si>
  <si>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</si>
  <si>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</si>
  <si>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</si>
  <si>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</si>
  <si>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</si>
  <si>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</si>
  <si>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</si>
  <si>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</si>
  <si>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</si>
  <si>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</si>
  <si>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</si>
  <si>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</si>
  <si>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</si>
  <si>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</si>
  <si>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</si>
  <si>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</si>
  <si>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</si>
  <si>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</si>
  <si>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</si>
  <si>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</si>
  <si>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</si>
  <si>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</si>
  <si>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</si>
  <si>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</si>
  <si>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</si>
  <si>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</si>
  <si>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</si>
  <si>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</si>
  <si>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</si>
  <si>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</si>
  <si>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</si>
  <si>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</si>
  <si>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</si>
  <si>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</si>
  <si>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</si>
  <si>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</si>
  <si>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</si>
  <si>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</si>
  <si>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</si>
  <si>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</si>
  <si>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</si>
  <si>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</si>
  <si>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</si>
  <si>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</si>
  <si>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</si>
  <si>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</si>
  <si>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</si>
  <si>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</si>
  <si>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</si>
  <si>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</si>
  <si>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</si>
  <si>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</si>
  <si>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</si>
  <si>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</si>
  <si>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</si>
  <si>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</si>
  <si>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</si>
  <si>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</si>
  <si>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</si>
  <si>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</si>
  <si>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</si>
  <si>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</si>
  <si>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</si>
  <si>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</si>
  <si>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</si>
  <si>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</si>
  <si>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</si>
  <si>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</si>
  <si>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</si>
  <si>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</si>
  <si>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</si>
  <si>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</si>
  <si>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</si>
  <si>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</si>
  <si>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</si>
  <si>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</si>
  <si>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</si>
  <si>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</si>
  <si>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</si>
  <si>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</si>
  <si>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</si>
  <si>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</si>
  <si>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</si>
  <si>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</si>
  <si>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</si>
  <si>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</si>
  <si>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</si>
  <si>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</si>
  <si>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</si>
  <si>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</si>
  <si>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</si>
  <si>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</si>
  <si>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</si>
  <si>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</si>
  <si>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</si>
  <si>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</si>
  <si>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</si>
  <si>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</si>
  <si>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</si>
  <si>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</si>
  <si>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</si>
  <si>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</si>
  <si>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</si>
  <si>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</si>
  <si>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</si>
  <si>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</si>
  <si>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</si>
  <si>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</si>
  <si>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</si>
  <si>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</si>
  <si>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</si>
  <si>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</si>
  <si>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</si>
  <si>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</si>
  <si>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</si>
  <si>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</si>
  <si>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</si>
  <si>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</si>
  <si>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</si>
  <si>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</si>
  <si>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</si>
  <si>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</si>
  <si>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</si>
  <si>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</si>
  <si>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</si>
  <si>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</si>
  <si>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Deivison Franca de Assis</t>
  </si>
  <si>
    <t>deivisonfassis</t>
  </si>
  <si>
    <t>https://github.com/deivisonfassis/cimealume-qa-deivison-franca.git</t>
  </si>
  <si>
    <t xml:space="preserve">Google Chrome - 156.0.8078.49 </t>
  </si>
  <si>
    <t>Windows 11</t>
  </si>
  <si>
    <t>Aparece o erro 404 do icone favicon</t>
  </si>
  <si>
    <t>Todos elemento de ui funcionando corretamente.</t>
  </si>
  <si>
    <t>Nome Completo</t>
  </si>
  <si>
    <t xml:space="preserve">Selecao de filmes,  Selecao de acentos, adicinar item na bomboniere, escolher forma de pagamento , Dados pessoais </t>
  </si>
  <si>
    <t>Verificar se as funçoes estao de acordo com as regras de negocio</t>
  </si>
  <si>
    <t>Unitario, sistema , aceitação</t>
  </si>
  <si>
    <t>Devtools, vscode</t>
  </si>
  <si>
    <t xml:space="preserve">A partir do momento que os arquivos e  o teste de fumaca for executado </t>
  </si>
  <si>
    <t>Pelo menos 90% dos casos  de teste executados tiveram passado</t>
  </si>
  <si>
    <t xml:space="preserve">insercao de valores alem do limite, selecionar mais de um campo , colocar valor invalidos, numero negativos </t>
  </si>
  <si>
    <t>tudo relacionado ao visual do sistemas ou backend e banco de dados</t>
  </si>
  <si>
    <t>Funcionalidades repondendo de acordo com as regra de negocio</t>
  </si>
  <si>
    <t>CA01.1</t>
  </si>
  <si>
    <t>verificar se todas as funciononalidade do sistema estão de acordo com os requisitos de negocio</t>
  </si>
  <si>
    <t xml:space="preserve">Desconto pix </t>
  </si>
  <si>
    <t>O requisito define um limite que não faz sentido</t>
  </si>
  <si>
    <t xml:space="preserve">Definir um novo limite baseado na soma dos vendidos </t>
  </si>
  <si>
    <t>a quantidade de caracteres para um nome e muito pequena baseado no padrao de nome brasileiro</t>
  </si>
  <si>
    <t xml:space="preserve">Exite algum nome com 3 caracteres?. </t>
  </si>
  <si>
    <t>Com as correções verificar se o sistema esta funcinando corretamente</t>
  </si>
  <si>
    <t>Tenta identificar erros que não tenha no plano de teste</t>
  </si>
  <si>
    <t xml:space="preserve">Simular se sistema aguenta uma quantidade de usuario e uma pre-estreia </t>
  </si>
  <si>
    <t>Para discobri quando sistema trava para tomar medidas.</t>
  </si>
  <si>
    <t>Analisar quanto tempo um usuario leva pra compra um ingresso e se atividade e facil de ser exeutada</t>
  </si>
  <si>
    <t>Verificar se o sistema esta de acordo com os requisitos</t>
  </si>
  <si>
    <t>CA02.1</t>
  </si>
  <si>
    <t>CA03.1</t>
  </si>
  <si>
    <t>CA04.1</t>
  </si>
  <si>
    <t>CA05.1</t>
  </si>
  <si>
    <t xml:space="preserve">Preco da seção </t>
  </si>
  <si>
    <t>acento selecionado</t>
  </si>
  <si>
    <t>O valor do ingresso e exibido R$24,00</t>
  </si>
  <si>
    <t>Valor da sala 3D</t>
  </si>
  <si>
    <t>Horario e Acento selecionado</t>
  </si>
  <si>
    <t xml:space="preserve">1.Selecionar Horario                                         2.Selecionar Acento                                         </t>
  </si>
  <si>
    <t xml:space="preserve">1. Selecionar horario com filme 3D depois das 17                                                                 2. Selecionar acento </t>
  </si>
  <si>
    <t>O valor da seção tem que ser R$38,00</t>
  </si>
  <si>
    <t>Aplicação de Meia entrada</t>
  </si>
  <si>
    <t>1.Selecionar Horario depois da 17                      2.Selecionar acento                                          3.adicionar uma meia entrada</t>
  </si>
  <si>
    <t>Digita 1 na  meia entrada</t>
  </si>
  <si>
    <t>No resumo exibir o valor do ingresso com metade do preco</t>
  </si>
  <si>
    <t>Pre-estreia sem meia  entrada</t>
  </si>
  <si>
    <t xml:space="preserve">1.Selecionar horario com pre-estreia                  2.selecionar acento                                           3.adicionar meia entrada </t>
  </si>
  <si>
    <t>O valor do ingresso com a meia-entradada não aplicado</t>
  </si>
  <si>
    <t>Não confirmar pedido sem ingresso</t>
  </si>
  <si>
    <t>Selecionar horario</t>
  </si>
  <si>
    <t>1.selecionar horario                                          2.confirmar pedido</t>
  </si>
  <si>
    <t>Mensagem dizendo que precisa selecionar um acento para confirmar</t>
  </si>
  <si>
    <t>CA05.2</t>
  </si>
  <si>
    <t>Limite de acentos</t>
  </si>
  <si>
    <t>1.selecionar horario                                           2.selecionar mais de 6 acentos</t>
  </si>
  <si>
    <t>No resumo exibir o valor total do ingresso de acordo com 6  acentos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</si>
</sst>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0"/>
      <name val="Arial"/>
      <family val="2"/>
    </font>
    <font>
      <sz val="10"/>
      <name val="Arial"/>
      <family val="2"/>
    </font>
    <font>
      <u/>
      <sz val="11"/>
      <color theme="1"/>
      <name val="Calibri"/>
      <family val="2"/>
      <charset val="1"/>
    </font>
    <font>
      <b/>
      <u/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4" fontId="4" fillId="3" borderId="1" xfId="0" applyNumberFormat="1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10" fillId="0" borderId="0" xfId="0" applyFont="1"/>
    <xf numFmtId="0" fontId="0" fillId="0" borderId="0" xfId="0" applyFont="1"/>
    <xf numFmtId="0" fontId="4" fillId="3" borderId="2" xfId="0" applyFont="1" applyFill="1" applyBorder="1" applyAlignment="1">
      <alignment vertical="top" wrapText="1"/>
    </xf>
    <xf numFmtId="0" fontId="11" fillId="4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zoomScaleNormal="100" workbookViewId="0"/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8" sqref="B8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8" t="s">
        <v>497</v>
      </c>
      <c r="C6" s="9" t="s">
        <v>52</v>
      </c>
    </row>
    <row r="7" spans="1:3" x14ac:dyDescent="0.3">
      <c r="A7" s="7" t="s">
        <v>53</v>
      </c>
      <c r="B7" s="20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8" t="s">
        <v>499</v>
      </c>
      <c r="C9" s="9" t="s">
        <v>58</v>
      </c>
    </row>
    <row r="10" spans="1:3" x14ac:dyDescent="0.3">
      <c r="A10" s="7" t="s">
        <v>59</v>
      </c>
      <c r="B10" s="21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C26" sqref="C2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8" t="s">
        <v>446</v>
      </c>
      <c r="D5" s="23" t="s">
        <v>500</v>
      </c>
    </row>
    <row r="6" spans="1:4" x14ac:dyDescent="0.3">
      <c r="A6" s="7" t="s">
        <v>70</v>
      </c>
      <c r="B6" s="11" t="s">
        <v>71</v>
      </c>
      <c r="C6" s="8" t="s">
        <v>436</v>
      </c>
      <c r="D6" s="8"/>
    </row>
    <row r="7" spans="1:4" x14ac:dyDescent="0.3">
      <c r="A7" s="7" t="s">
        <v>72</v>
      </c>
      <c r="B7" s="11" t="s">
        <v>73</v>
      </c>
      <c r="C7" s="8" t="s">
        <v>436</v>
      </c>
      <c r="D7" s="8"/>
    </row>
    <row r="8" spans="1:4" x14ac:dyDescent="0.3">
      <c r="A8" s="7" t="s">
        <v>74</v>
      </c>
      <c r="B8" s="11" t="s">
        <v>75</v>
      </c>
      <c r="C8" s="8" t="s">
        <v>436</v>
      </c>
      <c r="D8" s="8"/>
    </row>
    <row r="9" spans="1:4" x14ac:dyDescent="0.3">
      <c r="A9" s="7" t="s">
        <v>76</v>
      </c>
      <c r="B9" s="11" t="s">
        <v>77</v>
      </c>
      <c r="C9" s="8" t="s">
        <v>436</v>
      </c>
      <c r="D9" s="8"/>
    </row>
    <row r="10" spans="1:4" x14ac:dyDescent="0.3">
      <c r="A10" s="7" t="s">
        <v>78</v>
      </c>
      <c r="B10" s="11" t="s">
        <v>79</v>
      </c>
      <c r="C10" s="8" t="s">
        <v>436</v>
      </c>
      <c r="D10" s="8"/>
    </row>
    <row r="11" spans="1:4" x14ac:dyDescent="0.3">
      <c r="A11" s="7" t="s">
        <v>80</v>
      </c>
      <c r="B11" s="11" t="s">
        <v>81</v>
      </c>
      <c r="C11" s="8" t="s">
        <v>436</v>
      </c>
      <c r="D11" s="8"/>
    </row>
    <row r="12" spans="1:4" x14ac:dyDescent="0.3">
      <c r="A12" s="7" t="s">
        <v>82</v>
      </c>
      <c r="B12" s="11" t="s">
        <v>83</v>
      </c>
      <c r="C12" s="8" t="s">
        <v>436</v>
      </c>
      <c r="D12" s="8"/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501</v>
      </c>
      <c r="D16" s="24"/>
    </row>
    <row r="20" spans="2:2" x14ac:dyDescent="0.3">
      <c r="B20" s="24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8" sqref="B8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8" ht="17.399999999999999" x14ac:dyDescent="0.3">
      <c r="A1" s="1" t="s">
        <v>86</v>
      </c>
    </row>
    <row r="2" spans="1:8" x14ac:dyDescent="0.3">
      <c r="A2" s="2" t="s">
        <v>87</v>
      </c>
    </row>
    <row r="4" spans="1:8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8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8" x14ac:dyDescent="0.3">
      <c r="A6" s="7" t="s">
        <v>99</v>
      </c>
      <c r="B6" s="8" t="s">
        <v>484</v>
      </c>
      <c r="C6" s="23" t="s">
        <v>514</v>
      </c>
      <c r="D6" s="8" t="s">
        <v>468</v>
      </c>
      <c r="E6" s="23" t="s">
        <v>515</v>
      </c>
      <c r="F6" s="23" t="s">
        <v>516</v>
      </c>
    </row>
    <row r="7" spans="1:8" ht="26.4" x14ac:dyDescent="0.3">
      <c r="A7" s="7" t="s">
        <v>100</v>
      </c>
      <c r="B7" s="8" t="s">
        <v>94</v>
      </c>
      <c r="C7" s="23" t="s">
        <v>502</v>
      </c>
      <c r="D7" s="8" t="s">
        <v>460</v>
      </c>
      <c r="E7" s="23" t="s">
        <v>517</v>
      </c>
      <c r="F7" s="23" t="s">
        <v>518</v>
      </c>
    </row>
    <row r="8" spans="1:8" x14ac:dyDescent="0.3">
      <c r="A8" s="7" t="s">
        <v>101</v>
      </c>
      <c r="B8" s="8"/>
      <c r="C8" s="23"/>
      <c r="D8" s="8"/>
      <c r="E8" s="23"/>
      <c r="F8" s="23"/>
    </row>
    <row r="9" spans="1:8" x14ac:dyDescent="0.3">
      <c r="A9" s="7" t="s">
        <v>102</v>
      </c>
      <c r="B9" s="8"/>
      <c r="C9" s="23"/>
      <c r="D9" s="8"/>
      <c r="E9" s="23"/>
      <c r="F9" s="23"/>
    </row>
    <row r="10" spans="1:8" x14ac:dyDescent="0.3">
      <c r="A10" s="7" t="s">
        <v>103</v>
      </c>
      <c r="B10" s="8"/>
      <c r="C10" s="8"/>
      <c r="D10" s="8"/>
      <c r="E10" s="8"/>
      <c r="F10" s="8"/>
    </row>
    <row r="11" spans="1:8" x14ac:dyDescent="0.3">
      <c r="A11" s="7" t="s">
        <v>104</v>
      </c>
      <c r="B11" s="8"/>
      <c r="C11" s="8"/>
      <c r="D11" s="8"/>
      <c r="E11" s="8"/>
      <c r="F11" s="8"/>
    </row>
    <row r="12" spans="1:8" x14ac:dyDescent="0.3">
      <c r="A12" s="7" t="s">
        <v>105</v>
      </c>
      <c r="B12" s="8"/>
      <c r="C12" s="8"/>
      <c r="D12" s="8"/>
      <c r="E12" s="8"/>
      <c r="F12" s="8"/>
    </row>
    <row r="13" spans="1:8" x14ac:dyDescent="0.3">
      <c r="A13" s="7" t="s">
        <v>106</v>
      </c>
      <c r="B13" s="8"/>
      <c r="C13" s="8"/>
      <c r="D13" s="8"/>
      <c r="E13" s="8"/>
      <c r="F13" s="8"/>
    </row>
    <row r="14" spans="1:8" x14ac:dyDescent="0.3">
      <c r="A14" s="7" t="s">
        <v>107</v>
      </c>
      <c r="B14" s="8"/>
      <c r="C14" s="8"/>
      <c r="D14" s="8"/>
      <c r="E14" s="8"/>
      <c r="F14" s="8"/>
      <c r="H14" s="24"/>
    </row>
    <row r="15" spans="1:8" x14ac:dyDescent="0.3">
      <c r="A15" s="7" t="s">
        <v>108</v>
      </c>
      <c r="B15" s="8"/>
      <c r="C15" s="8"/>
      <c r="D15" s="8"/>
      <c r="E15" s="8"/>
      <c r="F15" s="8"/>
    </row>
    <row r="18" spans="5:6" x14ac:dyDescent="0.3">
      <c r="E18" s="24"/>
    </row>
    <row r="19" spans="5:6" x14ac:dyDescent="0.3">
      <c r="F19" s="25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4"/>
  <sheetViews>
    <sheetView showGridLines="0" topLeftCell="A13" zoomScaleNormal="100" workbookViewId="0">
      <selection activeCell="C34" sqref="C34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3" t="s">
        <v>513</v>
      </c>
    </row>
    <row r="5" spans="1:3" ht="42" customHeight="1" x14ac:dyDescent="0.3">
      <c r="A5" s="7" t="s">
        <v>112</v>
      </c>
      <c r="B5" s="23" t="s">
        <v>503</v>
      </c>
      <c r="C5" s="9" t="s">
        <v>113</v>
      </c>
    </row>
    <row r="6" spans="1:3" ht="42" customHeight="1" x14ac:dyDescent="0.3">
      <c r="A6" s="7" t="s">
        <v>114</v>
      </c>
      <c r="B6" s="23" t="s">
        <v>510</v>
      </c>
    </row>
    <row r="7" spans="1:3" ht="42" customHeight="1" x14ac:dyDescent="0.3">
      <c r="A7" s="7" t="s">
        <v>115</v>
      </c>
      <c r="B7" s="8" t="s">
        <v>453</v>
      </c>
      <c r="C7" s="9" t="s">
        <v>116</v>
      </c>
    </row>
    <row r="8" spans="1:3" ht="42" customHeight="1" x14ac:dyDescent="0.3">
      <c r="A8" s="7" t="s">
        <v>117</v>
      </c>
      <c r="B8" s="23" t="s">
        <v>504</v>
      </c>
    </row>
    <row r="9" spans="1:3" ht="42" customHeight="1" x14ac:dyDescent="0.3">
      <c r="A9" s="7" t="s">
        <v>118</v>
      </c>
      <c r="B9" s="23" t="s">
        <v>505</v>
      </c>
      <c r="C9" s="9" t="s">
        <v>119</v>
      </c>
    </row>
    <row r="10" spans="1:3" ht="42" customHeight="1" x14ac:dyDescent="0.3">
      <c r="A10" s="7" t="s">
        <v>120</v>
      </c>
      <c r="B10" s="23" t="s">
        <v>509</v>
      </c>
      <c r="C10" s="9" t="s">
        <v>121</v>
      </c>
    </row>
    <row r="11" spans="1:3" ht="42" customHeight="1" x14ac:dyDescent="0.3">
      <c r="A11" s="7" t="s">
        <v>122</v>
      </c>
      <c r="B11" s="23" t="s">
        <v>506</v>
      </c>
      <c r="C11" s="9" t="s">
        <v>123</v>
      </c>
    </row>
    <row r="12" spans="1:3" ht="42" customHeight="1" x14ac:dyDescent="0.3">
      <c r="A12" s="7" t="s">
        <v>124</v>
      </c>
      <c r="B12" s="23" t="s">
        <v>507</v>
      </c>
      <c r="C12" s="9" t="s">
        <v>125</v>
      </c>
    </row>
    <row r="13" spans="1:3" ht="42" customHeight="1" x14ac:dyDescent="0.3">
      <c r="A13" s="7" t="s">
        <v>126</v>
      </c>
      <c r="B13" s="23" t="s">
        <v>508</v>
      </c>
      <c r="C13" s="9" t="s">
        <v>127</v>
      </c>
    </row>
    <row r="14" spans="1:3" ht="42" customHeight="1" x14ac:dyDescent="0.3">
      <c r="A14" s="7" t="s">
        <v>128</v>
      </c>
      <c r="B14" s="23"/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8" t="s">
        <v>435</v>
      </c>
      <c r="C19" s="8" t="s">
        <v>511</v>
      </c>
    </row>
    <row r="20" spans="1:3" x14ac:dyDescent="0.3">
      <c r="A20" s="12" t="s">
        <v>135</v>
      </c>
      <c r="B20" s="8" t="s">
        <v>435</v>
      </c>
      <c r="C20" s="23" t="s">
        <v>519</v>
      </c>
    </row>
    <row r="21" spans="1:3" x14ac:dyDescent="0.3">
      <c r="A21" s="12" t="s">
        <v>136</v>
      </c>
      <c r="B21" s="8" t="s">
        <v>448</v>
      </c>
      <c r="C21" s="8"/>
    </row>
    <row r="22" spans="1:3" x14ac:dyDescent="0.3">
      <c r="A22" s="12" t="s">
        <v>137</v>
      </c>
      <c r="B22" s="8" t="s">
        <v>435</v>
      </c>
      <c r="C22" s="23" t="s">
        <v>520</v>
      </c>
    </row>
    <row r="23" spans="1:3" x14ac:dyDescent="0.3">
      <c r="A23" s="12" t="s">
        <v>138</v>
      </c>
      <c r="B23" s="8" t="s">
        <v>448</v>
      </c>
      <c r="C23" s="8"/>
    </row>
    <row r="24" spans="1:3" ht="26.4" x14ac:dyDescent="0.3">
      <c r="A24" s="12" t="s">
        <v>139</v>
      </c>
      <c r="B24" s="8" t="s">
        <v>435</v>
      </c>
      <c r="C24" s="23" t="s">
        <v>521</v>
      </c>
    </row>
    <row r="25" spans="1:3" x14ac:dyDescent="0.3">
      <c r="A25" s="12" t="s">
        <v>140</v>
      </c>
      <c r="B25" s="8" t="s">
        <v>435</v>
      </c>
      <c r="C25" s="23" t="s">
        <v>522</v>
      </c>
    </row>
    <row r="26" spans="1:3" x14ac:dyDescent="0.3">
      <c r="A26" s="12" t="s">
        <v>141</v>
      </c>
      <c r="B26" s="8" t="s">
        <v>448</v>
      </c>
      <c r="C26" s="8"/>
    </row>
    <row r="27" spans="1:3" x14ac:dyDescent="0.3">
      <c r="A27" s="12" t="s">
        <v>142</v>
      </c>
      <c r="B27" s="8" t="s">
        <v>448</v>
      </c>
      <c r="C27" s="8"/>
    </row>
    <row r="28" spans="1:3" x14ac:dyDescent="0.3">
      <c r="A28" s="12" t="s">
        <v>143</v>
      </c>
      <c r="B28" s="8" t="s">
        <v>448</v>
      </c>
      <c r="C28" s="8"/>
    </row>
    <row r="29" spans="1:3" ht="26.4" x14ac:dyDescent="0.3">
      <c r="A29" s="12" t="s">
        <v>144</v>
      </c>
      <c r="B29" s="23" t="s">
        <v>435</v>
      </c>
      <c r="C29" s="23" t="s">
        <v>523</v>
      </c>
    </row>
    <row r="30" spans="1:3" x14ac:dyDescent="0.3">
      <c r="A30" s="12" t="s">
        <v>145</v>
      </c>
      <c r="B30" s="8" t="s">
        <v>435</v>
      </c>
      <c r="C30" s="23" t="s">
        <v>524</v>
      </c>
    </row>
    <row r="34" spans="3:3" x14ac:dyDescent="0.3">
      <c r="C34" s="24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tabSelected="1" zoomScaleNormal="100" workbookViewId="0">
      <pane xSplit="1" ySplit="5" topLeftCell="H6" activePane="bottomRight" state="frozen"/>
      <selection pane="topRight" activeCell="B1" sqref="B1"/>
      <selection pane="bottomLeft" activeCell="A6" sqref="A6"/>
      <selection pane="bottomRight" activeCell="K11" sqref="K11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27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3" t="s">
        <v>512</v>
      </c>
      <c r="D6" s="8" t="s">
        <v>463</v>
      </c>
      <c r="E6" s="8" t="s">
        <v>134</v>
      </c>
      <c r="F6" s="8" t="s">
        <v>445</v>
      </c>
      <c r="G6" s="23" t="s">
        <v>529</v>
      </c>
      <c r="H6" s="23" t="s">
        <v>530</v>
      </c>
      <c r="I6" s="23" t="s">
        <v>534</v>
      </c>
      <c r="J6" s="8"/>
      <c r="K6" s="23" t="s">
        <v>531</v>
      </c>
      <c r="L6" s="8"/>
      <c r="M6" s="8"/>
      <c r="N6" s="8"/>
      <c r="O6" s="8"/>
    </row>
    <row r="7" spans="1:15" ht="39.6" x14ac:dyDescent="0.3">
      <c r="A7" s="7" t="s">
        <v>172</v>
      </c>
      <c r="B7" s="8" t="s">
        <v>443</v>
      </c>
      <c r="C7" s="23" t="s">
        <v>525</v>
      </c>
      <c r="D7" s="8" t="s">
        <v>463</v>
      </c>
      <c r="E7" s="8" t="s">
        <v>134</v>
      </c>
      <c r="F7" s="8" t="s">
        <v>445</v>
      </c>
      <c r="G7" s="23" t="s">
        <v>532</v>
      </c>
      <c r="H7" s="23" t="s">
        <v>533</v>
      </c>
      <c r="I7" s="23" t="s">
        <v>535</v>
      </c>
      <c r="J7" s="8"/>
      <c r="K7" s="23" t="s">
        <v>536</v>
      </c>
      <c r="L7" s="8"/>
      <c r="M7" s="8"/>
      <c r="N7" s="8"/>
      <c r="O7" s="8"/>
    </row>
    <row r="8" spans="1:15" ht="39.6" x14ac:dyDescent="0.3">
      <c r="A8" s="7" t="s">
        <v>173</v>
      </c>
      <c r="B8" s="8" t="s">
        <v>454</v>
      </c>
      <c r="C8" s="23" t="s">
        <v>526</v>
      </c>
      <c r="D8" s="8" t="s">
        <v>463</v>
      </c>
      <c r="E8" s="8" t="s">
        <v>134</v>
      </c>
      <c r="F8" s="8" t="s">
        <v>445</v>
      </c>
      <c r="G8" s="23" t="s">
        <v>537</v>
      </c>
      <c r="H8" s="23" t="s">
        <v>533</v>
      </c>
      <c r="I8" s="23" t="s">
        <v>538</v>
      </c>
      <c r="J8" s="23" t="s">
        <v>539</v>
      </c>
      <c r="K8" s="23" t="s">
        <v>540</v>
      </c>
      <c r="L8" s="8"/>
      <c r="M8" s="8"/>
      <c r="N8" s="8"/>
      <c r="O8" s="8"/>
    </row>
    <row r="9" spans="1:15" ht="39.6" x14ac:dyDescent="0.3">
      <c r="A9" s="7" t="s">
        <v>174</v>
      </c>
      <c r="B9" s="8" t="s">
        <v>462</v>
      </c>
      <c r="C9" s="23" t="s">
        <v>527</v>
      </c>
      <c r="D9" s="8" t="s">
        <v>137</v>
      </c>
      <c r="E9" s="8" t="s">
        <v>134</v>
      </c>
      <c r="F9" s="8" t="s">
        <v>445</v>
      </c>
      <c r="G9" s="23" t="s">
        <v>541</v>
      </c>
      <c r="H9" s="23" t="s">
        <v>533</v>
      </c>
      <c r="I9" s="23" t="s">
        <v>542</v>
      </c>
      <c r="J9" s="23" t="s">
        <v>539</v>
      </c>
      <c r="K9" s="22" t="s">
        <v>543</v>
      </c>
      <c r="L9" s="8"/>
      <c r="M9" s="8"/>
      <c r="N9" s="8"/>
      <c r="O9" s="8"/>
    </row>
    <row r="10" spans="1:15" ht="26.4" x14ac:dyDescent="0.3">
      <c r="A10" s="7" t="s">
        <v>175</v>
      </c>
      <c r="B10" s="8" t="s">
        <v>469</v>
      </c>
      <c r="C10" s="23" t="s">
        <v>528</v>
      </c>
      <c r="D10" s="22" t="s">
        <v>137</v>
      </c>
      <c r="E10" s="8" t="s">
        <v>134</v>
      </c>
      <c r="F10" s="8" t="s">
        <v>445</v>
      </c>
      <c r="G10" s="23" t="s">
        <v>544</v>
      </c>
      <c r="H10" s="23" t="s">
        <v>545</v>
      </c>
      <c r="I10" s="23" t="s">
        <v>546</v>
      </c>
      <c r="J10" s="8"/>
      <c r="K10" s="23" t="s">
        <v>547</v>
      </c>
      <c r="L10" s="8"/>
      <c r="M10" s="8"/>
      <c r="N10" s="8"/>
      <c r="O10" s="8"/>
    </row>
    <row r="11" spans="1:15" ht="26.4" x14ac:dyDescent="0.3">
      <c r="A11" s="7" t="s">
        <v>176</v>
      </c>
      <c r="B11" s="8" t="s">
        <v>469</v>
      </c>
      <c r="C11" s="23" t="s">
        <v>548</v>
      </c>
      <c r="D11" s="8" t="s">
        <v>137</v>
      </c>
      <c r="E11" s="8" t="s">
        <v>134</v>
      </c>
      <c r="F11" s="8" t="s">
        <v>445</v>
      </c>
      <c r="G11" s="23" t="s">
        <v>549</v>
      </c>
      <c r="H11" s="23" t="s">
        <v>545</v>
      </c>
      <c r="I11" s="23" t="s">
        <v>550</v>
      </c>
      <c r="J11" s="8"/>
      <c r="K11" s="23" t="s">
        <v>551</v>
      </c>
      <c r="L11" s="8"/>
      <c r="M11" s="8"/>
      <c r="N11" s="8"/>
      <c r="O11" s="8"/>
    </row>
    <row r="12" spans="1:15" x14ac:dyDescent="0.3">
      <c r="A12" s="7" t="s">
        <v>177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178</v>
      </c>
      <c r="B13" s="8"/>
      <c r="C13" s="8"/>
      <c r="D13" s="8"/>
      <c r="E13" s="8"/>
      <c r="F13" s="8"/>
      <c r="G13" s="8"/>
      <c r="H13" s="8"/>
      <c r="I13" s="8"/>
      <c r="J13" s="8"/>
      <c r="K13" s="22"/>
      <c r="L13" s="8"/>
      <c r="M13" s="8"/>
      <c r="N13" s="8"/>
      <c r="O13" s="8"/>
    </row>
    <row r="14" spans="1:15" x14ac:dyDescent="0.3">
      <c r="A14" s="7" t="s">
        <v>179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180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181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182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183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184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185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x14ac:dyDescent="0.3">
      <c r="A6" s="7" t="s">
        <v>231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3">
      <c r="A7" s="7" t="s">
        <v>232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3">
      <c r="A8" s="7" t="s">
        <v>233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3">
      <c r="A9" s="7" t="s">
        <v>234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3">
      <c r="A10" s="7" t="s">
        <v>235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3">
      <c r="A11" s="7" t="s">
        <v>236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x14ac:dyDescent="0.3">
      <c r="A6" s="7" t="s">
        <v>274</v>
      </c>
      <c r="B6" s="8" t="s">
        <v>138</v>
      </c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275</v>
      </c>
      <c r="B7" s="8" t="s">
        <v>139</v>
      </c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276</v>
      </c>
      <c r="B8" s="8" t="s">
        <v>140</v>
      </c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277</v>
      </c>
      <c r="B9" s="8" t="s">
        <v>141</v>
      </c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278</v>
      </c>
      <c r="B10" s="8" t="s">
        <v>142</v>
      </c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279</v>
      </c>
      <c r="B11" s="8" t="s">
        <v>143</v>
      </c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280</v>
      </c>
      <c r="B12" s="8" t="s">
        <v>144</v>
      </c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x14ac:dyDescent="0.3">
      <c r="A6" s="7" t="s">
        <v>303</v>
      </c>
      <c r="B6" s="8"/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304</v>
      </c>
      <c r="B7" s="8"/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305</v>
      </c>
      <c r="B8" s="8"/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306</v>
      </c>
      <c r="B9" s="8"/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307</v>
      </c>
      <c r="B10" s="8"/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308</v>
      </c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/>
      <c r="C6" s="8"/>
      <c r="D6" s="8"/>
      <c r="E6" s="8"/>
      <c r="F6" s="8"/>
      <c r="G6" s="8"/>
      <c r="H6" s="8"/>
      <c r="I6" s="8"/>
    </row>
    <row r="7" spans="1:9" x14ac:dyDescent="0.3">
      <c r="A7" s="7" t="s">
        <v>337</v>
      </c>
      <c r="B7" s="8"/>
      <c r="C7" s="8"/>
      <c r="D7" s="8"/>
      <c r="E7" s="8"/>
      <c r="F7" s="8"/>
      <c r="G7" s="8"/>
      <c r="H7" s="8"/>
      <c r="I7" s="8"/>
    </row>
    <row r="8" spans="1:9" x14ac:dyDescent="0.3">
      <c r="A8" s="7" t="s">
        <v>338</v>
      </c>
      <c r="B8" s="8"/>
      <c r="C8" s="8"/>
      <c r="D8" s="8"/>
      <c r="E8" s="8"/>
      <c r="F8" s="8"/>
      <c r="G8" s="8"/>
      <c r="H8" s="8"/>
      <c r="I8" s="8"/>
    </row>
    <row r="9" spans="1:9" x14ac:dyDescent="0.3">
      <c r="A9" s="7" t="s">
        <v>339</v>
      </c>
      <c r="B9" s="8"/>
      <c r="C9" s="8"/>
      <c r="D9" s="8"/>
      <c r="E9" s="8"/>
      <c r="F9" s="8"/>
      <c r="G9" s="8"/>
      <c r="H9" s="8"/>
      <c r="I9" s="8"/>
    </row>
    <row r="10" spans="1:9" x14ac:dyDescent="0.3">
      <c r="A10" s="7" t="s">
        <v>340</v>
      </c>
      <c r="B10" s="8"/>
      <c r="C10" s="8"/>
      <c r="D10" s="8"/>
      <c r="E10" s="8"/>
      <c r="F10" s="8"/>
      <c r="G10" s="8"/>
      <c r="H10" s="8"/>
      <c r="I10" s="8"/>
    </row>
    <row r="11" spans="1:9" x14ac:dyDescent="0.3">
      <c r="A11" s="7" t="s">
        <v>341</v>
      </c>
      <c r="B11" s="8"/>
      <c r="C11" s="8"/>
      <c r="D11" s="8"/>
      <c r="E11" s="8"/>
      <c r="F11" s="8"/>
      <c r="G11" s="8"/>
      <c r="H11" s="8"/>
      <c r="I11" s="8"/>
    </row>
    <row r="12" spans="1:9" x14ac:dyDescent="0.3">
      <c r="A12" s="7" t="s">
        <v>342</v>
      </c>
      <c r="B12" s="8"/>
      <c r="C12" s="8"/>
      <c r="D12" s="8"/>
      <c r="E12" s="8"/>
      <c r="F12" s="8"/>
      <c r="G12" s="8"/>
      <c r="H12" s="8"/>
      <c r="I12" s="8"/>
    </row>
    <row r="13" spans="1:9" x14ac:dyDescent="0.3">
      <c r="A13" s="7" t="s">
        <v>343</v>
      </c>
      <c r="B13" s="8"/>
      <c r="C13" s="8"/>
      <c r="D13" s="8"/>
      <c r="E13" s="8"/>
      <c r="F13" s="8"/>
      <c r="G13" s="8"/>
      <c r="H13" s="8"/>
      <c r="I13" s="8"/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6</v>
      </c>
    </row>
    <row r="6" spans="1:2" x14ac:dyDescent="0.3">
      <c r="A6" s="17" t="s">
        <v>375</v>
      </c>
      <c r="B6" s="18">
        <f>COUNTIF('5_Casos_de_Teste'!M6:M45,"Passou")</f>
        <v>0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0</v>
      </c>
    </row>
    <row r="11" spans="1:2" x14ac:dyDescent="0.3">
      <c r="A11" s="17" t="s">
        <v>380</v>
      </c>
      <c r="B11" s="18">
        <f>COUNTIF('5_Casos_de_Teste'!D6:D45,"Valor limite")</f>
        <v>0</v>
      </c>
    </row>
    <row r="12" spans="1:2" x14ac:dyDescent="0.3">
      <c r="A12" s="17" t="s">
        <v>381</v>
      </c>
      <c r="B12" s="18">
        <f>COUNTA('6_Bugs'!B6:B35)</f>
        <v>0</v>
      </c>
    </row>
    <row r="13" spans="1:2" x14ac:dyDescent="0.3">
      <c r="A13" s="17" t="s">
        <v>382</v>
      </c>
      <c r="B13" s="18">
        <f>COUNTIF('6_Bugs'!G6:G35,"Crítica")</f>
        <v>0</v>
      </c>
    </row>
    <row r="14" spans="1:2" x14ac:dyDescent="0.3">
      <c r="A14" s="17" t="s">
        <v>383</v>
      </c>
      <c r="B14" s="18">
        <f>COUNTIF('6_Bugs'!G6:G35,"Alta")</f>
        <v>0</v>
      </c>
    </row>
    <row r="15" spans="1:2" x14ac:dyDescent="0.3">
      <c r="A15" s="17" t="s">
        <v>384</v>
      </c>
      <c r="B15" s="18">
        <f>COUNTIF('6_Bugs'!G6:G35,"Média")</f>
        <v>0</v>
      </c>
    </row>
    <row r="16" spans="1:2" x14ac:dyDescent="0.3">
      <c r="A16" s="17" t="s">
        <v>385</v>
      </c>
      <c r="B16" s="18">
        <f>COUNTIF('6_Bugs'!G6:G35,"Baixa")</f>
        <v>0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0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0</v>
      </c>
    </row>
    <row r="21" spans="1:4" x14ac:dyDescent="0.3">
      <c r="A21" s="17" t="s">
        <v>390</v>
      </c>
      <c r="B21" s="18">
        <f>COUNTA('9_Automacao'!E6:E25)</f>
        <v>0</v>
      </c>
    </row>
    <row r="22" spans="1:4" x14ac:dyDescent="0.3">
      <c r="A22" s="17" t="s">
        <v>391</v>
      </c>
      <c r="B22" s="18">
        <f>COUNTIF('9_Automacao'!H6:H25,"Passou")</f>
        <v>0</v>
      </c>
    </row>
    <row r="23" spans="1:4" x14ac:dyDescent="0.3">
      <c r="A23" s="17" t="s">
        <v>392</v>
      </c>
      <c r="B23" s="18">
        <f>COUNTIF('9_Automacao'!H6:H25,"Falhou")</f>
        <v>0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6"/>
      <c r="C26" s="26"/>
      <c r="D26" s="9" t="s">
        <v>395</v>
      </c>
    </row>
    <row r="27" spans="1:4" ht="48" customHeight="1" x14ac:dyDescent="0.3">
      <c r="A27" s="7" t="s">
        <v>396</v>
      </c>
      <c r="B27" s="26"/>
      <c r="C27" s="26"/>
    </row>
    <row r="28" spans="1:4" ht="48" customHeight="1" x14ac:dyDescent="0.3">
      <c r="A28" s="7" t="s">
        <v>397</v>
      </c>
      <c r="B28" s="26"/>
      <c r="C28" s="26"/>
    </row>
    <row r="29" spans="1:4" ht="48" customHeight="1" x14ac:dyDescent="0.3">
      <c r="A29" s="7" t="s">
        <v>398</v>
      </c>
      <c r="B29" s="26"/>
      <c r="C29" s="26"/>
    </row>
    <row r="30" spans="1:4" ht="18" customHeight="1" x14ac:dyDescent="0.3">
      <c r="A30" s="7" t="s">
        <v>399</v>
      </c>
      <c r="B30" s="26"/>
      <c r="C30" s="26"/>
      <c r="D30" s="9" t="s">
        <v>400</v>
      </c>
    </row>
    <row r="31" spans="1:4" ht="48" customHeight="1" x14ac:dyDescent="0.3">
      <c r="A31" s="7" t="s">
        <v>401</v>
      </c>
      <c r="B31" s="26"/>
      <c r="C31" s="26"/>
      <c r="D31" s="9" t="s">
        <v>402</v>
      </c>
    </row>
    <row r="32" spans="1:4" ht="48" customHeight="1" x14ac:dyDescent="0.3">
      <c r="A32" s="7" t="s">
        <v>403</v>
      </c>
      <c r="B32" s="26"/>
      <c r="C32" s="26"/>
    </row>
    <row r="33" spans="1:3" ht="48" customHeight="1" x14ac:dyDescent="0.3">
      <c r="A33" s="7" t="s">
        <v>404</v>
      </c>
      <c r="B33" s="26"/>
      <c r="C33" s="26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MARIA VITORIA CONCEIÇÃO LIMA</cp:lastModifiedBy>
  <cp:revision>0</cp:revision>
  <dcterms:created xsi:type="dcterms:W3CDTF">2026-10-28T21:26:22Z</dcterms:created>
  <dcterms:modified xsi:type="dcterms:W3CDTF">2026-10-30T00:43:36Z</dcterms:modified>
  <dc:language>en-US</dc:language>
</cp:coreProperties>
</file>